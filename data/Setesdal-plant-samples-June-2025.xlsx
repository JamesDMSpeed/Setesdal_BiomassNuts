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speed_ntnu_no/Documents/ScandGraze/Setesdal_BiomassNuts/data/"/>
    </mc:Choice>
  </mc:AlternateContent>
  <xr:revisionPtr revIDLastSave="2" documentId="8_{131E16FB-DFFF-418F-8194-2898A45863ED}" xr6:coauthVersionLast="47" xr6:coauthVersionMax="47" xr10:uidLastSave="{77080480-C32B-4BA6-88AC-B51BC8AE0833}"/>
  <bookViews>
    <workbookView xWindow="-120" yWindow="-120" windowWidth="57840" windowHeight="23520" xr2:uid="{74CFEBE5-F4C2-4C43-B8E1-2C9427576250}"/>
  </bookViews>
  <sheets>
    <sheet name="Setesdal biomass and analysis" sheetId="2" r:id="rId1"/>
    <sheet name="Rekvisisjon 26-006 CNH" sheetId="3" r:id="rId2"/>
    <sheet name="Rekvisisjon 26-006 tot-elemen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8" i="2" l="1"/>
  <c r="I64" i="2"/>
  <c r="I81" i="2"/>
  <c r="I74" i="2"/>
  <c r="I60" i="2"/>
  <c r="I55" i="2"/>
  <c r="I58" i="2"/>
  <c r="I51" i="2"/>
  <c r="I49" i="2"/>
  <c r="I43" i="2"/>
  <c r="I46" i="2"/>
  <c r="I41" i="2"/>
  <c r="I36" i="2"/>
  <c r="I31" i="2"/>
  <c r="I15" i="2"/>
</calcChain>
</file>

<file path=xl/sharedStrings.xml><?xml version="1.0" encoding="utf-8"?>
<sst xmlns="http://schemas.openxmlformats.org/spreadsheetml/2006/main" count="891" uniqueCount="352">
  <si>
    <t>Lab.no</t>
  </si>
  <si>
    <t>Litter</t>
  </si>
  <si>
    <t>Graminoids</t>
  </si>
  <si>
    <t>Herbs</t>
  </si>
  <si>
    <t>Dwarf_Shrub</t>
  </si>
  <si>
    <t>prove 1</t>
  </si>
  <si>
    <t>prove 2</t>
  </si>
  <si>
    <t>prove 3</t>
  </si>
  <si>
    <t>prove 4</t>
  </si>
  <si>
    <t>prove 5</t>
  </si>
  <si>
    <t>prove 6</t>
  </si>
  <si>
    <t>prove 7</t>
  </si>
  <si>
    <t>prove 8</t>
  </si>
  <si>
    <t>prove 9</t>
  </si>
  <si>
    <t>prove 10</t>
  </si>
  <si>
    <t>prove 11</t>
  </si>
  <si>
    <t>prove 12</t>
  </si>
  <si>
    <t>prove 13</t>
  </si>
  <si>
    <t>prove 14</t>
  </si>
  <si>
    <t>prove 15</t>
  </si>
  <si>
    <t>prove 16</t>
  </si>
  <si>
    <t>prove 17</t>
  </si>
  <si>
    <t>prove 18</t>
  </si>
  <si>
    <t>prove 19</t>
  </si>
  <si>
    <t>prove 20</t>
  </si>
  <si>
    <t>prove 21</t>
  </si>
  <si>
    <t>prove 22</t>
  </si>
  <si>
    <t>prove 23</t>
  </si>
  <si>
    <t>prove 24</t>
  </si>
  <si>
    <t>prove 25</t>
  </si>
  <si>
    <t>prove 26</t>
  </si>
  <si>
    <t>prove 27</t>
  </si>
  <si>
    <t>prove 28</t>
  </si>
  <si>
    <t>prove 29</t>
  </si>
  <si>
    <t>prove 30</t>
  </si>
  <si>
    <t>prove 31</t>
  </si>
  <si>
    <t>prove 32</t>
  </si>
  <si>
    <t>prove 33</t>
  </si>
  <si>
    <t>prove 34</t>
  </si>
  <si>
    <t>prove 35</t>
  </si>
  <si>
    <t>-</t>
  </si>
  <si>
    <t>prove 36</t>
  </si>
  <si>
    <t>prove 37</t>
  </si>
  <si>
    <t>prove 38</t>
  </si>
  <si>
    <t>prove 39</t>
  </si>
  <si>
    <t>prove 40</t>
  </si>
  <si>
    <t>prove 41</t>
  </si>
  <si>
    <t>prove 42</t>
  </si>
  <si>
    <t>prove 43</t>
  </si>
  <si>
    <t>prove 44</t>
  </si>
  <si>
    <t>prove 45</t>
  </si>
  <si>
    <t>prove 46</t>
  </si>
  <si>
    <t>prove 47</t>
  </si>
  <si>
    <t>prove 48</t>
  </si>
  <si>
    <t>prove 49</t>
  </si>
  <si>
    <t>prove 50</t>
  </si>
  <si>
    <t>prove 51</t>
  </si>
  <si>
    <t>prove 52</t>
  </si>
  <si>
    <t>prove 53</t>
  </si>
  <si>
    <t>prove 54</t>
  </si>
  <si>
    <t>prove 55</t>
  </si>
  <si>
    <t>prove 56</t>
  </si>
  <si>
    <t>prove 57</t>
  </si>
  <si>
    <t>prove 58</t>
  </si>
  <si>
    <t>prove 59</t>
  </si>
  <si>
    <t>prove 60</t>
  </si>
  <si>
    <t>B</t>
  </si>
  <si>
    <t>Na</t>
  </si>
  <si>
    <t>Mg</t>
  </si>
  <si>
    <t>Al</t>
  </si>
  <si>
    <t>P</t>
  </si>
  <si>
    <t>S</t>
  </si>
  <si>
    <t>K</t>
  </si>
  <si>
    <t>Ca</t>
  </si>
  <si>
    <t>Mn</t>
  </si>
  <si>
    <t>Fe</t>
  </si>
  <si>
    <t>Cu</t>
  </si>
  <si>
    <t>Zn</t>
  </si>
  <si>
    <t>Mo</t>
  </si>
  <si>
    <t>mg/kg</t>
  </si>
  <si>
    <t>g/kg</t>
  </si>
  <si>
    <t>26/006 60</t>
  </si>
  <si>
    <t>26/006 59</t>
  </si>
  <si>
    <t>26/006 58</t>
  </si>
  <si>
    <t>26/006 57</t>
  </si>
  <si>
    <t>26/006 56</t>
  </si>
  <si>
    <t>26/006 55</t>
  </si>
  <si>
    <t>26/006 54</t>
  </si>
  <si>
    <t>26/006 53</t>
  </si>
  <si>
    <t>26/006 52</t>
  </si>
  <si>
    <t>26/006 51</t>
  </si>
  <si>
    <t>26/006 50</t>
  </si>
  <si>
    <t>26/006 49</t>
  </si>
  <si>
    <t>26/006 48</t>
  </si>
  <si>
    <t>26/006 47</t>
  </si>
  <si>
    <t>26/006 46</t>
  </si>
  <si>
    <t>26/006 45</t>
  </si>
  <si>
    <t>26/006 44</t>
  </si>
  <si>
    <t>26/006 43</t>
  </si>
  <si>
    <t>26/006 42</t>
  </si>
  <si>
    <t>26/006 41</t>
  </si>
  <si>
    <t>26/006 40</t>
  </si>
  <si>
    <t>26/006 39</t>
  </si>
  <si>
    <t>26/006 38</t>
  </si>
  <si>
    <t>26/006 37</t>
  </si>
  <si>
    <t>26/006 36</t>
  </si>
  <si>
    <t>26/006 35</t>
  </si>
  <si>
    <t>26/006 34</t>
  </si>
  <si>
    <t>26/006 33</t>
  </si>
  <si>
    <t>26/006 32</t>
  </si>
  <si>
    <t>26/006 31</t>
  </si>
  <si>
    <t>26/006 30</t>
  </si>
  <si>
    <t>26/006 29</t>
  </si>
  <si>
    <t>26/006 28</t>
  </si>
  <si>
    <t>26/006 27</t>
  </si>
  <si>
    <t>26/006 26</t>
  </si>
  <si>
    <t>26/006 25</t>
  </si>
  <si>
    <t>26/006 24</t>
  </si>
  <si>
    <t>26/006 23</t>
  </si>
  <si>
    <t>26/006 22</t>
  </si>
  <si>
    <t>26/006 21</t>
  </si>
  <si>
    <t>26/006 20</t>
  </si>
  <si>
    <t>26/006 19</t>
  </si>
  <si>
    <t>26/006 18</t>
  </si>
  <si>
    <t>26/006 17</t>
  </si>
  <si>
    <t>26/006 16</t>
  </si>
  <si>
    <t>26/006 15</t>
  </si>
  <si>
    <t>26/006 14</t>
  </si>
  <si>
    <t>26/006 13</t>
  </si>
  <si>
    <t>26/006 12</t>
  </si>
  <si>
    <t>26/006 11</t>
  </si>
  <si>
    <t>26/006 10</t>
  </si>
  <si>
    <t>26/006 9</t>
  </si>
  <si>
    <t>26/006 8</t>
  </si>
  <si>
    <t>26/006 7</t>
  </si>
  <si>
    <t>26/006 6</t>
  </si>
  <si>
    <t>26/006 5</t>
  </si>
  <si>
    <t>26/006 4</t>
  </si>
  <si>
    <t>26/006 3</t>
  </si>
  <si>
    <t>26/006 2</t>
  </si>
  <si>
    <t>26/006 1</t>
  </si>
  <si>
    <t>Site_id</t>
  </si>
  <si>
    <t>Name</t>
  </si>
  <si>
    <t>Plot</t>
  </si>
  <si>
    <t>Treatment</t>
  </si>
  <si>
    <t>G/NG</t>
  </si>
  <si>
    <t>Date</t>
  </si>
  <si>
    <t>Plant-species</t>
  </si>
  <si>
    <t>Notes</t>
  </si>
  <si>
    <t>I1</t>
  </si>
  <si>
    <t>Håhellervatnet</t>
  </si>
  <si>
    <t>Island</t>
  </si>
  <si>
    <t>NG</t>
  </si>
  <si>
    <t>Litter_Bio</t>
  </si>
  <si>
    <t>I2</t>
  </si>
  <si>
    <t>Madagask</t>
  </si>
  <si>
    <t>I4</t>
  </si>
  <si>
    <t>Bukøyna</t>
  </si>
  <si>
    <t>M1</t>
  </si>
  <si>
    <t>Mainland</t>
  </si>
  <si>
    <t>G</t>
  </si>
  <si>
    <t>M2</t>
  </si>
  <si>
    <t>M3</t>
  </si>
  <si>
    <t>two bags</t>
  </si>
  <si>
    <t>M7</t>
  </si>
  <si>
    <t>M9</t>
  </si>
  <si>
    <t>M10</t>
  </si>
  <si>
    <t>three subsites</t>
  </si>
  <si>
    <t>two subsites</t>
  </si>
  <si>
    <t>Mass</t>
  </si>
  <si>
    <t>Method</t>
  </si>
  <si>
    <t>Analysis Date</t>
  </si>
  <si>
    <t>Carbon %</t>
  </si>
  <si>
    <t>Nitrogen %</t>
  </si>
  <si>
    <t>Hydrogen %</t>
  </si>
  <si>
    <t>Analysis Time</t>
  </si>
  <si>
    <t>Blank</t>
  </si>
  <si>
    <t>1.0000</t>
  </si>
  <si>
    <t>Plant</t>
  </si>
  <si>
    <t>test</t>
  </si>
  <si>
    <t>0.1508</t>
  </si>
  <si>
    <t>0.1503</t>
  </si>
  <si>
    <t>502-931 lot 1001</t>
  </si>
  <si>
    <t>0.1519</t>
  </si>
  <si>
    <t>0.1541</t>
  </si>
  <si>
    <t>0.1571</t>
  </si>
  <si>
    <t>0.1504</t>
  </si>
  <si>
    <t>0.1506</t>
  </si>
  <si>
    <t>0.1521</t>
  </si>
  <si>
    <t>0.1496</t>
  </si>
  <si>
    <t>0.1003</t>
  </si>
  <si>
    <t>0.0739</t>
  </si>
  <si>
    <t>0.0711</t>
  </si>
  <si>
    <t>0.0698</t>
  </si>
  <si>
    <t>0.0704</t>
  </si>
  <si>
    <t>0.0733</t>
  </si>
  <si>
    <t>0.0732</t>
  </si>
  <si>
    <t>0.0710</t>
  </si>
  <si>
    <t>0.0703</t>
  </si>
  <si>
    <t>0.1502</t>
  </si>
  <si>
    <t>0.0702</t>
  </si>
  <si>
    <t>0.1372</t>
  </si>
  <si>
    <t>0.1332</t>
  </si>
  <si>
    <t>0.1374</t>
  </si>
  <si>
    <t>0.1376</t>
  </si>
  <si>
    <t>0.1340</t>
  </si>
  <si>
    <t>0.1342</t>
  </si>
  <si>
    <t>0.1380</t>
  </si>
  <si>
    <t>0.1363</t>
  </si>
  <si>
    <t>0.1369</t>
  </si>
  <si>
    <t>0.1385</t>
  </si>
  <si>
    <t>0.1362</t>
  </si>
  <si>
    <t>0.1370</t>
  </si>
  <si>
    <t>0.1378</t>
  </si>
  <si>
    <t>0.1356</t>
  </si>
  <si>
    <t>0.1564</t>
  </si>
  <si>
    <t>0.1570</t>
  </si>
  <si>
    <t>0.1487</t>
  </si>
  <si>
    <t>0.1361</t>
  </si>
  <si>
    <t>0.0103</t>
  </si>
  <si>
    <t>0.1598</t>
  </si>
  <si>
    <t>0.1554</t>
  </si>
  <si>
    <t>0.1619</t>
  </si>
  <si>
    <t>0.1590</t>
  </si>
  <si>
    <t>0.1534</t>
  </si>
  <si>
    <t>0.1404</t>
  </si>
  <si>
    <t>0.1501</t>
  </si>
  <si>
    <t>0.1527</t>
  </si>
  <si>
    <t>0.1623</t>
  </si>
  <si>
    <t>0.0596</t>
  </si>
  <si>
    <t>0.1543</t>
  </si>
  <si>
    <t>0.1479</t>
  </si>
  <si>
    <t>0.1566</t>
  </si>
  <si>
    <t>0.1620</t>
  </si>
  <si>
    <t>0.1600</t>
  </si>
  <si>
    <t>0.1531</t>
  </si>
  <si>
    <t>0.1471</t>
  </si>
  <si>
    <t>0.1558</t>
  </si>
  <si>
    <t>0.1634</t>
  </si>
  <si>
    <t>0.1574</t>
  </si>
  <si>
    <t>0.1567</t>
  </si>
  <si>
    <t>0.1639</t>
  </si>
  <si>
    <t>0.1530</t>
  </si>
  <si>
    <t>0.1524</t>
  </si>
  <si>
    <t>0.1599</t>
  </si>
  <si>
    <t>significant figures</t>
  </si>
  <si>
    <t>Limit of detection, LOD (w/w)</t>
  </si>
  <si>
    <t>Limit of quantification, LOQ  (w/w)</t>
  </si>
  <si>
    <t xml:space="preserve">Based on average weight,g </t>
  </si>
  <si>
    <t>Dilution samples, mL</t>
  </si>
  <si>
    <t>Prøve nr</t>
  </si>
  <si>
    <t>innvekt</t>
  </si>
  <si>
    <t>merket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</si>
  <si>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</si>
  <si>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</si>
  <si>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</si>
  <si>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</si>
  <si>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</si>
  <si>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</si>
  <si>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</si>
  <si>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</si>
  <si>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</si>
  <si>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</si>
  <si>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</si>
  <si>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</si>
  <si>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</si>
  <si>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</si>
  <si>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</si>
  <si>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</si>
  <si>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</si>
  <si>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</si>
  <si>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</si>
  <si>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</si>
  <si>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</si>
  <si>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</si>
  <si>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</si>
  <si>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</si>
  <si>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</si>
  <si>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</si>
  <si>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</si>
  <si>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</si>
  <si>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</si>
  <si>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</si>
  <si>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</si>
  <si>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</si>
  <si>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</si>
  <si>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</si>
  <si>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</si>
  <si>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</si>
  <si>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</si>
  <si>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</si>
  <si>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</si>
  <si>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</si>
  <si>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</si>
  <si>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</si>
  <si>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</si>
  <si>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</si>
  <si>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</si>
  <si>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</si>
  <si>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</si>
  <si>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</si>
  <si>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</si>
  <si>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</si>
  <si>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</si>
  <si>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</si>
  <si>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</si>
  <si>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</si>
  <si>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</si>
  <si>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</si>
  <si>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</si>
  <si>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</si>
  <si>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</si>
  <si>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</si>
  <si>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</si>
  <si>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 ii</t>
  </si>
  <si>
    <t>62</t>
  </si>
  <si>
    <t>6 iii</t>
  </si>
  <si>
    <t>63</t>
  </si>
  <si>
    <t>21 ii</t>
  </si>
  <si>
    <t>64</t>
  </si>
  <si>
    <t>21 iii</t>
  </si>
  <si>
    <t>65</t>
  </si>
  <si>
    <t>33 ii</t>
  </si>
  <si>
    <t>66</t>
  </si>
  <si>
    <t>33 iii</t>
  </si>
  <si>
    <t>67</t>
  </si>
  <si>
    <t>56 iii</t>
  </si>
  <si>
    <t>68</t>
  </si>
  <si>
    <t>NCSZC73036a</t>
  </si>
  <si>
    <t>green tea</t>
  </si>
  <si>
    <t>NCSDC73349</t>
  </si>
  <si>
    <t>Kv&amp;blad</t>
  </si>
  <si>
    <t>Fraction</t>
  </si>
  <si>
    <t>Merged biomass (g)</t>
  </si>
  <si>
    <t>Biomass (g)</t>
  </si>
  <si>
    <t>Lab.no_2</t>
  </si>
  <si>
    <t>TotC (%)</t>
  </si>
  <si>
    <t>TotN (%)</t>
  </si>
  <si>
    <t>TotH (%)</t>
  </si>
  <si>
    <t>B (mg/kg)</t>
  </si>
  <si>
    <t>Na (g/kg)</t>
  </si>
  <si>
    <t>Mg (g/kg)</t>
  </si>
  <si>
    <t>Al (g/kg)</t>
  </si>
  <si>
    <t>P (g/kg)</t>
  </si>
  <si>
    <t>S (g/kg)</t>
  </si>
  <si>
    <t>K (g/kg)</t>
  </si>
  <si>
    <t>Ca (g/kg)</t>
  </si>
  <si>
    <t>Mn (g/kg)</t>
  </si>
  <si>
    <t>Fe (g/kg)</t>
  </si>
  <si>
    <t>Cu (mg/kg)</t>
  </si>
  <si>
    <t>Zn (g/kg)</t>
  </si>
  <si>
    <t>Mo (mg/kg)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</si>
</sst>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General;[Red]\-General"/>
    <numFmt numFmtId="167" formatCode="0.0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0"/>
      <color rgb="FF454545"/>
      <name val="Arial"/>
      <family val="2"/>
    </font>
    <font>
      <sz val="10"/>
      <name val="Arial"/>
      <family val="2"/>
    </font>
    <font>
      <b/>
      <sz val="10"/>
      <color indexed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166" fontId="4" fillId="4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165" fontId="0" fillId="0" borderId="0" xfId="0" applyNumberFormat="1"/>
    <xf numFmtId="14" fontId="0" fillId="0" borderId="0" xfId="0" applyNumberFormat="1"/>
    <xf numFmtId="49" fontId="0" fillId="0" borderId="0" xfId="0" applyNumberFormat="1"/>
    <xf numFmtId="22" fontId="0" fillId="0" borderId="0" xfId="0" applyNumberFormat="1"/>
    <xf numFmtId="164" fontId="0" fillId="0" borderId="0" xfId="0" applyNumberFormat="1"/>
    <xf numFmtId="167" fontId="5" fillId="4" borderId="0" xfId="3" applyNumberFormat="1" applyFont="1"/>
    <xf numFmtId="164" fontId="0" fillId="0" borderId="0" xfId="0" applyNumberFormat="1" applyAlignment="1">
      <alignment horizontal="center"/>
    </xf>
    <xf numFmtId="167" fontId="0" fillId="0" borderId="0" xfId="0" applyNumberFormat="1"/>
    <xf numFmtId="0" fontId="1" fillId="2" borderId="0" xfId="1" applyAlignment="1">
      <alignment horizontal="right"/>
    </xf>
    <xf numFmtId="0" fontId="2" fillId="3" borderId="0" xfId="2" applyAlignment="1">
      <alignment horizontal="right"/>
    </xf>
    <xf numFmtId="165" fontId="1" fillId="2" borderId="0" xfId="1" applyNumberFormat="1" applyAlignment="1">
      <alignment horizontal="right"/>
    </xf>
    <xf numFmtId="1" fontId="1" fillId="2" borderId="0" xfId="1" applyNumberFormat="1" applyAlignment="1">
      <alignment horizontal="right"/>
    </xf>
  </cellXfs>
  <cellStyles count="4">
    <cellStyle name="Good" xfId="1" builtinId="26"/>
    <cellStyle name="Neutral" xfId="2" builtinId="28"/>
    <cellStyle name="Normal" xfId="0" builtinId="0"/>
    <cellStyle name="Normal_Prøvingsrap-vann-icpms_Rapport-VannICPMS-NINA_Element Analyse Element 2 HR-ICP-MS-Info NTNU Project with over 100 samples - 2009" xfId="3" xr:uid="{5CADAB32-D8B1-4E06-9898-23CD23D550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EFEF-F483-41A3-9CB0-1F580227DFCD}">
  <dimension ref="A1:AC83"/>
  <sheetViews>
    <sheetView tabSelected="1" workbookViewId="0">
      <selection activeCell="U39" sqref="U39"/>
    </sheetView>
  </sheetViews>
  <sheetFormatPr defaultColWidth="11.42578125" defaultRowHeight="15" x14ac:dyDescent="0.25"/>
  <cols>
    <col min="9" max="9" width="16.85546875" customWidth="1"/>
  </cols>
  <sheetData>
    <row r="1" spans="1:29" x14ac:dyDescent="0.25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s="9" t="s">
        <v>146</v>
      </c>
      <c r="G1" t="s">
        <v>147</v>
      </c>
      <c r="H1" t="s">
        <v>334</v>
      </c>
      <c r="I1" t="s">
        <v>333</v>
      </c>
      <c r="J1" t="s">
        <v>148</v>
      </c>
      <c r="K1" t="s">
        <v>0</v>
      </c>
      <c r="L1" t="s">
        <v>335</v>
      </c>
      <c r="M1" t="s">
        <v>332</v>
      </c>
      <c r="N1" t="s">
        <v>336</v>
      </c>
      <c r="O1" t="s">
        <v>337</v>
      </c>
      <c r="P1" t="s">
        <v>338</v>
      </c>
      <c r="Q1" s="6" t="s">
        <v>339</v>
      </c>
      <c r="R1" s="6" t="s">
        <v>340</v>
      </c>
      <c r="S1" s="6" t="s">
        <v>341</v>
      </c>
      <c r="T1" s="6" t="s">
        <v>342</v>
      </c>
      <c r="U1" s="6" t="s">
        <v>343</v>
      </c>
      <c r="V1" s="6" t="s">
        <v>344</v>
      </c>
      <c r="W1" s="6" t="s">
        <v>345</v>
      </c>
      <c r="X1" s="6" t="s">
        <v>346</v>
      </c>
      <c r="Y1" s="6" t="s">
        <v>347</v>
      </c>
      <c r="Z1" s="6" t="s">
        <v>348</v>
      </c>
      <c r="AA1" s="6" t="s">
        <v>349</v>
      </c>
      <c r="AB1" s="6" t="s">
        <v>350</v>
      </c>
      <c r="AC1" s="6" t="s">
        <v>351</v>
      </c>
    </row>
    <row r="2" spans="1:29" x14ac:dyDescent="0.25">
      <c r="A2" t="s">
        <v>149</v>
      </c>
      <c r="B2" t="s">
        <v>150</v>
      </c>
      <c r="C2">
        <v>2</v>
      </c>
      <c r="D2" t="s">
        <v>151</v>
      </c>
      <c r="E2" t="s">
        <v>152</v>
      </c>
      <c r="F2" s="9">
        <v>45809</v>
      </c>
      <c r="G2" t="s">
        <v>153</v>
      </c>
      <c r="H2">
        <v>14.5</v>
      </c>
      <c r="K2">
        <v>1</v>
      </c>
      <c r="L2">
        <v>1</v>
      </c>
      <c r="M2" t="s">
        <v>1</v>
      </c>
      <c r="N2" s="8">
        <v>45</v>
      </c>
      <c r="O2" s="7">
        <v>0.92530000000000001</v>
      </c>
      <c r="P2" s="7">
        <v>5.31</v>
      </c>
      <c r="Q2" s="2">
        <v>3.9</v>
      </c>
      <c r="R2" s="2">
        <v>3.9E-2</v>
      </c>
      <c r="S2" s="2">
        <v>0.44</v>
      </c>
      <c r="T2" s="2">
        <v>0.11</v>
      </c>
      <c r="U2" s="3">
        <v>0.9</v>
      </c>
      <c r="V2" s="2">
        <v>0.72</v>
      </c>
      <c r="W2" s="2">
        <v>1.6</v>
      </c>
      <c r="X2" s="2">
        <v>1.6</v>
      </c>
      <c r="Y2" s="2">
        <v>0.19</v>
      </c>
      <c r="Z2" s="2">
        <v>7.2999999999999995E-2</v>
      </c>
      <c r="AA2" s="2">
        <v>3.4</v>
      </c>
      <c r="AB2" s="2">
        <v>4.9000000000000002E-2</v>
      </c>
      <c r="AC2" s="2">
        <v>0.21</v>
      </c>
    </row>
    <row r="3" spans="1:29" x14ac:dyDescent="0.25">
      <c r="A3" t="s">
        <v>154</v>
      </c>
      <c r="B3" t="s">
        <v>155</v>
      </c>
      <c r="C3">
        <v>3</v>
      </c>
      <c r="D3" t="s">
        <v>151</v>
      </c>
      <c r="E3" t="s">
        <v>152</v>
      </c>
      <c r="F3" s="9">
        <v>45809</v>
      </c>
      <c r="G3" t="s">
        <v>153</v>
      </c>
      <c r="H3">
        <v>15.43</v>
      </c>
      <c r="K3">
        <v>2</v>
      </c>
      <c r="L3">
        <v>2</v>
      </c>
      <c r="M3" t="s">
        <v>1</v>
      </c>
      <c r="N3" s="8">
        <v>48.1</v>
      </c>
      <c r="O3" s="7">
        <v>1.212</v>
      </c>
      <c r="P3" s="7">
        <v>6.16</v>
      </c>
      <c r="Q3" s="2">
        <v>10</v>
      </c>
      <c r="R3" s="2">
        <v>4.5999999999999999E-2</v>
      </c>
      <c r="S3" s="2">
        <v>1.2</v>
      </c>
      <c r="T3" s="3">
        <v>0.2</v>
      </c>
      <c r="U3" s="2">
        <v>0.85</v>
      </c>
      <c r="V3" s="2">
        <v>0.83</v>
      </c>
      <c r="W3" s="2">
        <v>1.5</v>
      </c>
      <c r="X3" s="2">
        <v>9.9</v>
      </c>
      <c r="Y3" s="2">
        <v>0.84</v>
      </c>
      <c r="Z3" s="3">
        <v>0.1</v>
      </c>
      <c r="AA3" s="2">
        <v>5.4</v>
      </c>
      <c r="AB3" s="2">
        <v>7.4999999999999997E-2</v>
      </c>
      <c r="AC3" s="2">
        <v>0.14000000000000001</v>
      </c>
    </row>
    <row r="4" spans="1:29" x14ac:dyDescent="0.25">
      <c r="A4" t="s">
        <v>156</v>
      </c>
      <c r="B4" t="s">
        <v>157</v>
      </c>
      <c r="C4">
        <v>3</v>
      </c>
      <c r="D4" t="s">
        <v>151</v>
      </c>
      <c r="E4" t="s">
        <v>152</v>
      </c>
      <c r="F4" s="9">
        <v>45809</v>
      </c>
      <c r="G4" t="s">
        <v>153</v>
      </c>
      <c r="H4">
        <v>9.7635000000000005</v>
      </c>
      <c r="K4">
        <v>3</v>
      </c>
      <c r="L4">
        <v>3</v>
      </c>
      <c r="M4" t="s">
        <v>1</v>
      </c>
      <c r="N4" s="8">
        <v>45.2</v>
      </c>
      <c r="O4" s="7">
        <v>1.351</v>
      </c>
      <c r="P4" s="7">
        <v>6.27</v>
      </c>
      <c r="Q4" s="2">
        <v>11</v>
      </c>
      <c r="R4" s="4">
        <v>0.04</v>
      </c>
      <c r="S4" s="2">
        <v>1.5</v>
      </c>
      <c r="T4" s="2">
        <v>0.19</v>
      </c>
      <c r="U4" s="2">
        <v>1.2</v>
      </c>
      <c r="V4" s="2">
        <v>1.1000000000000001</v>
      </c>
      <c r="W4" s="2">
        <v>2.2999999999999998</v>
      </c>
      <c r="X4" s="2">
        <v>13</v>
      </c>
      <c r="Y4" s="2">
        <v>0.27</v>
      </c>
      <c r="Z4" s="2">
        <v>9.8000000000000004E-2</v>
      </c>
      <c r="AA4" s="5">
        <v>4</v>
      </c>
      <c r="AB4" s="2">
        <v>8.8999999999999996E-2</v>
      </c>
      <c r="AC4" s="2">
        <v>0.18</v>
      </c>
    </row>
    <row r="5" spans="1:29" x14ac:dyDescent="0.25">
      <c r="A5" t="s">
        <v>158</v>
      </c>
      <c r="C5">
        <v>3</v>
      </c>
      <c r="D5" t="s">
        <v>159</v>
      </c>
      <c r="E5" t="s">
        <v>160</v>
      </c>
      <c r="F5" s="9">
        <v>45809</v>
      </c>
      <c r="G5" t="s">
        <v>153</v>
      </c>
      <c r="H5">
        <v>30.56</v>
      </c>
      <c r="K5">
        <v>4</v>
      </c>
      <c r="L5">
        <v>4</v>
      </c>
      <c r="M5" t="s">
        <v>1</v>
      </c>
      <c r="N5" s="8">
        <v>46.6</v>
      </c>
      <c r="O5" s="7">
        <v>1.256</v>
      </c>
      <c r="P5" s="7">
        <v>6.32</v>
      </c>
      <c r="Q5" s="2">
        <v>3.9</v>
      </c>
      <c r="R5" s="2">
        <v>3.1E-2</v>
      </c>
      <c r="S5" s="3">
        <v>0.6</v>
      </c>
      <c r="T5" s="2">
        <v>0.13</v>
      </c>
      <c r="U5" s="2">
        <v>0.64</v>
      </c>
      <c r="V5" s="5">
        <v>1</v>
      </c>
      <c r="W5" s="2">
        <v>1.9</v>
      </c>
      <c r="X5" s="2">
        <v>2.2000000000000002</v>
      </c>
      <c r="Y5" s="2">
        <v>0.17</v>
      </c>
      <c r="Z5" s="2">
        <v>0.13</v>
      </c>
      <c r="AA5" s="2">
        <v>4.5</v>
      </c>
      <c r="AB5" s="2">
        <v>3.5999999999999997E-2</v>
      </c>
      <c r="AC5" s="2">
        <v>0.21</v>
      </c>
    </row>
    <row r="6" spans="1:29" x14ac:dyDescent="0.25">
      <c r="A6" t="s">
        <v>158</v>
      </c>
      <c r="C6">
        <v>2</v>
      </c>
      <c r="D6" t="s">
        <v>159</v>
      </c>
      <c r="E6" t="s">
        <v>152</v>
      </c>
      <c r="F6" s="9">
        <v>45809</v>
      </c>
      <c r="G6" t="s">
        <v>153</v>
      </c>
      <c r="H6">
        <v>6.2201000000000004</v>
      </c>
      <c r="K6">
        <v>5</v>
      </c>
      <c r="L6">
        <v>5</v>
      </c>
      <c r="M6" t="s">
        <v>1</v>
      </c>
      <c r="N6" s="8">
        <v>47.7</v>
      </c>
      <c r="O6" s="7">
        <v>1.004</v>
      </c>
      <c r="P6" s="7">
        <v>6.46</v>
      </c>
      <c r="Q6" s="2">
        <v>3.3</v>
      </c>
      <c r="R6" s="2">
        <v>3.4000000000000002E-2</v>
      </c>
      <c r="S6" s="2">
        <v>0.46</v>
      </c>
      <c r="T6" s="3">
        <v>0.1</v>
      </c>
      <c r="U6" s="2">
        <v>0.42</v>
      </c>
      <c r="V6" s="2">
        <v>0.8</v>
      </c>
      <c r="W6" s="2">
        <v>1.4</v>
      </c>
      <c r="X6" s="2">
        <v>1.6</v>
      </c>
      <c r="Y6" s="2">
        <v>0.11</v>
      </c>
      <c r="Z6" s="3">
        <v>0.1</v>
      </c>
      <c r="AA6" s="2">
        <v>3.9</v>
      </c>
      <c r="AB6" s="2">
        <v>5.8999999999999997E-2</v>
      </c>
      <c r="AC6" s="2">
        <v>0.66</v>
      </c>
    </row>
    <row r="7" spans="1:29" x14ac:dyDescent="0.25">
      <c r="A7" t="s">
        <v>161</v>
      </c>
      <c r="C7">
        <v>1</v>
      </c>
      <c r="D7" t="s">
        <v>159</v>
      </c>
      <c r="E7" t="s">
        <v>160</v>
      </c>
      <c r="F7" s="9">
        <v>45809</v>
      </c>
      <c r="G7" t="s">
        <v>153</v>
      </c>
      <c r="H7">
        <v>24.92</v>
      </c>
      <c r="K7">
        <v>6</v>
      </c>
      <c r="L7">
        <v>6</v>
      </c>
      <c r="M7" t="s">
        <v>1</v>
      </c>
      <c r="N7" s="8">
        <v>46</v>
      </c>
      <c r="O7" s="7">
        <v>1.071</v>
      </c>
      <c r="P7" s="7">
        <v>5.79</v>
      </c>
      <c r="Q7" s="2">
        <v>2.4</v>
      </c>
      <c r="R7" s="2">
        <v>3.3000000000000002E-2</v>
      </c>
      <c r="S7" s="2">
        <v>0.35</v>
      </c>
      <c r="T7" s="3">
        <v>0.1</v>
      </c>
      <c r="U7" s="2">
        <v>0.46</v>
      </c>
      <c r="V7" s="2">
        <v>0.92</v>
      </c>
      <c r="W7" s="2">
        <v>1.1000000000000001</v>
      </c>
      <c r="X7" s="2">
        <v>0.92</v>
      </c>
      <c r="Y7" s="2">
        <v>0.06</v>
      </c>
      <c r="Z7" s="2">
        <v>0.12</v>
      </c>
      <c r="AA7" s="2">
        <v>3.6</v>
      </c>
      <c r="AB7" s="4">
        <v>0.03</v>
      </c>
      <c r="AC7" s="2">
        <v>0.66</v>
      </c>
    </row>
    <row r="8" spans="1:29" x14ac:dyDescent="0.25">
      <c r="A8" t="s">
        <v>161</v>
      </c>
      <c r="C8">
        <v>1</v>
      </c>
      <c r="D8" t="s">
        <v>159</v>
      </c>
      <c r="E8" t="s">
        <v>152</v>
      </c>
      <c r="F8" s="9">
        <v>45809</v>
      </c>
      <c r="G8" t="s">
        <v>153</v>
      </c>
      <c r="H8">
        <v>22.06</v>
      </c>
      <c r="K8">
        <v>7</v>
      </c>
      <c r="L8">
        <v>7</v>
      </c>
      <c r="M8" t="s">
        <v>1</v>
      </c>
      <c r="N8" s="8">
        <v>43.4</v>
      </c>
      <c r="O8" s="7">
        <v>0.98470000000000002</v>
      </c>
      <c r="P8" s="7">
        <v>5.42</v>
      </c>
      <c r="Q8" s="2">
        <v>2.7</v>
      </c>
      <c r="R8" s="4">
        <v>0.03</v>
      </c>
      <c r="S8" s="2">
        <v>0.47</v>
      </c>
      <c r="T8" s="2">
        <v>0.13</v>
      </c>
      <c r="U8" s="2">
        <v>0.33</v>
      </c>
      <c r="V8" s="2">
        <v>0.79</v>
      </c>
      <c r="W8" s="2">
        <v>1.7</v>
      </c>
      <c r="X8" s="2">
        <v>1.6</v>
      </c>
      <c r="Y8" s="2">
        <v>0.25</v>
      </c>
      <c r="Z8" s="2">
        <v>8.7999999999999995E-2</v>
      </c>
      <c r="AA8" s="2">
        <v>2.7</v>
      </c>
      <c r="AB8" s="2">
        <v>3.9E-2</v>
      </c>
      <c r="AC8" s="2">
        <v>0.36</v>
      </c>
    </row>
    <row r="9" spans="1:29" x14ac:dyDescent="0.25">
      <c r="A9" t="s">
        <v>162</v>
      </c>
      <c r="C9">
        <v>1</v>
      </c>
      <c r="D9" t="s">
        <v>159</v>
      </c>
      <c r="E9" t="s">
        <v>160</v>
      </c>
      <c r="F9" s="9">
        <v>45809</v>
      </c>
      <c r="G9" t="s">
        <v>153</v>
      </c>
      <c r="H9">
        <v>81.579999999999984</v>
      </c>
      <c r="K9">
        <v>8</v>
      </c>
      <c r="L9">
        <v>8</v>
      </c>
      <c r="M9" t="s">
        <v>1</v>
      </c>
      <c r="N9" s="8">
        <v>45.5</v>
      </c>
      <c r="O9" s="7">
        <v>1.3240000000000001</v>
      </c>
      <c r="P9" s="7">
        <v>5.43</v>
      </c>
      <c r="Q9" s="2">
        <v>4.3</v>
      </c>
      <c r="R9" s="2">
        <v>3.4000000000000002E-2</v>
      </c>
      <c r="S9" s="2">
        <v>1.1000000000000001</v>
      </c>
      <c r="T9" s="2">
        <v>0.13</v>
      </c>
      <c r="U9" s="2">
        <v>1.1000000000000001</v>
      </c>
      <c r="V9" s="2">
        <v>0.92</v>
      </c>
      <c r="W9" s="2">
        <v>2.2000000000000002</v>
      </c>
      <c r="X9" s="2">
        <v>2.6</v>
      </c>
      <c r="Y9" s="2">
        <v>0.52</v>
      </c>
      <c r="Z9" s="2">
        <v>9.5000000000000001E-2</v>
      </c>
      <c r="AA9" s="2">
        <v>4.0999999999999996</v>
      </c>
      <c r="AB9" s="2">
        <v>3.7999999999999999E-2</v>
      </c>
      <c r="AC9" s="2">
        <v>0.35</v>
      </c>
    </row>
    <row r="10" spans="1:29" x14ac:dyDescent="0.25">
      <c r="A10" t="s">
        <v>162</v>
      </c>
      <c r="C10">
        <v>1</v>
      </c>
      <c r="D10" t="s">
        <v>159</v>
      </c>
      <c r="E10" t="s">
        <v>152</v>
      </c>
      <c r="F10" s="9">
        <v>45809</v>
      </c>
      <c r="G10" t="s">
        <v>153</v>
      </c>
      <c r="H10">
        <v>25.063599999999997</v>
      </c>
      <c r="J10" t="s">
        <v>163</v>
      </c>
      <c r="K10">
        <v>9</v>
      </c>
      <c r="L10">
        <v>9</v>
      </c>
      <c r="M10" t="s">
        <v>1</v>
      </c>
      <c r="N10" s="8">
        <v>46.2</v>
      </c>
      <c r="O10" s="7">
        <v>2.3119999999999998</v>
      </c>
      <c r="P10" s="7">
        <v>5.58</v>
      </c>
      <c r="Q10" s="5">
        <v>6</v>
      </c>
      <c r="R10" s="2">
        <v>0.15</v>
      </c>
      <c r="S10" s="2">
        <v>1.8</v>
      </c>
      <c r="T10" s="2">
        <v>0.11</v>
      </c>
      <c r="U10" s="2">
        <v>1.9</v>
      </c>
      <c r="V10" s="5">
        <v>2</v>
      </c>
      <c r="W10" s="2">
        <v>9.1999999999999993</v>
      </c>
      <c r="X10" s="5">
        <v>3</v>
      </c>
      <c r="Y10" s="2">
        <v>0.64</v>
      </c>
      <c r="Z10" s="2">
        <v>0.12</v>
      </c>
      <c r="AA10" s="2">
        <v>6.2</v>
      </c>
      <c r="AB10" s="2">
        <v>9.7000000000000003E-2</v>
      </c>
      <c r="AC10" s="2">
        <v>0.33</v>
      </c>
    </row>
    <row r="11" spans="1:29" x14ac:dyDescent="0.25">
      <c r="A11" t="s">
        <v>164</v>
      </c>
      <c r="C11">
        <v>2</v>
      </c>
      <c r="D11" t="s">
        <v>159</v>
      </c>
      <c r="E11" t="s">
        <v>160</v>
      </c>
      <c r="F11" s="9">
        <v>45809</v>
      </c>
      <c r="G11" t="s">
        <v>153</v>
      </c>
      <c r="H11">
        <v>39.709999999999994</v>
      </c>
      <c r="K11">
        <v>10</v>
      </c>
      <c r="L11">
        <v>10</v>
      </c>
      <c r="M11" t="s">
        <v>1</v>
      </c>
      <c r="N11" s="8">
        <v>45.4</v>
      </c>
      <c r="O11" s="7">
        <v>1.0980000000000001</v>
      </c>
      <c r="P11" s="7">
        <v>5.43</v>
      </c>
      <c r="Q11" s="2">
        <v>1.9</v>
      </c>
      <c r="R11" s="2">
        <v>5.3999999999999999E-2</v>
      </c>
      <c r="S11" s="3">
        <v>0.2</v>
      </c>
      <c r="T11" s="3">
        <v>0.4</v>
      </c>
      <c r="U11" s="2">
        <v>0.38</v>
      </c>
      <c r="V11" s="2">
        <v>0.91</v>
      </c>
      <c r="W11" s="2">
        <v>1.3</v>
      </c>
      <c r="X11" s="2">
        <v>0.48</v>
      </c>
      <c r="Y11" s="2">
        <v>2.1000000000000001E-2</v>
      </c>
      <c r="Z11" s="2">
        <v>0.18</v>
      </c>
      <c r="AA11" s="2">
        <v>3.2</v>
      </c>
      <c r="AB11" s="2">
        <v>2.1999999999999999E-2</v>
      </c>
      <c r="AC11" s="2">
        <v>0.33</v>
      </c>
    </row>
    <row r="12" spans="1:29" x14ac:dyDescent="0.25">
      <c r="A12" t="s">
        <v>164</v>
      </c>
      <c r="C12">
        <v>2</v>
      </c>
      <c r="D12" t="s">
        <v>159</v>
      </c>
      <c r="E12" t="s">
        <v>152</v>
      </c>
      <c r="F12" s="9">
        <v>45809</v>
      </c>
      <c r="G12" t="s">
        <v>153</v>
      </c>
      <c r="H12">
        <v>62.45</v>
      </c>
      <c r="K12">
        <v>11</v>
      </c>
      <c r="L12">
        <v>11</v>
      </c>
      <c r="M12" t="s">
        <v>1</v>
      </c>
      <c r="N12" s="8">
        <v>44.7</v>
      </c>
      <c r="O12" s="7">
        <v>1.214</v>
      </c>
      <c r="P12" s="7">
        <v>4.43</v>
      </c>
      <c r="Q12" s="2">
        <v>1.9</v>
      </c>
      <c r="R12" s="2">
        <v>7.0999999999999994E-2</v>
      </c>
      <c r="S12" s="2">
        <v>0.26</v>
      </c>
      <c r="T12" s="2">
        <v>0.54</v>
      </c>
      <c r="U12" s="2">
        <v>0.54</v>
      </c>
      <c r="V12" s="5">
        <v>1</v>
      </c>
      <c r="W12" s="2">
        <v>1.7</v>
      </c>
      <c r="X12" s="2">
        <v>0.61</v>
      </c>
      <c r="Y12" s="2">
        <v>4.2000000000000003E-2</v>
      </c>
      <c r="Z12" s="3">
        <v>0.2</v>
      </c>
      <c r="AA12" s="2">
        <v>4.0999999999999996</v>
      </c>
      <c r="AB12" s="2">
        <v>0.15</v>
      </c>
      <c r="AC12" s="2">
        <v>0.31</v>
      </c>
    </row>
    <row r="13" spans="1:29" x14ac:dyDescent="0.25">
      <c r="A13" t="s">
        <v>165</v>
      </c>
      <c r="C13">
        <v>1</v>
      </c>
      <c r="D13" t="s">
        <v>159</v>
      </c>
      <c r="E13" t="s">
        <v>160</v>
      </c>
      <c r="F13" s="9">
        <v>45809</v>
      </c>
      <c r="G13" t="s">
        <v>153</v>
      </c>
      <c r="H13">
        <v>20.85</v>
      </c>
      <c r="K13">
        <v>12</v>
      </c>
      <c r="L13">
        <v>12</v>
      </c>
      <c r="M13" t="s">
        <v>1</v>
      </c>
      <c r="N13" s="8">
        <v>43.7</v>
      </c>
      <c r="O13" s="7">
        <v>1.1739999999999999</v>
      </c>
      <c r="P13" s="7">
        <v>5.13</v>
      </c>
      <c r="Q13" s="2">
        <v>3.1</v>
      </c>
      <c r="R13" s="2">
        <v>7.5999999999999998E-2</v>
      </c>
      <c r="S13" s="2">
        <v>0.31</v>
      </c>
      <c r="T13" s="3">
        <v>0.2</v>
      </c>
      <c r="U13" s="2">
        <v>0.65</v>
      </c>
      <c r="V13" s="2">
        <v>0.93</v>
      </c>
      <c r="W13" s="2">
        <v>2.1</v>
      </c>
      <c r="X13" s="2">
        <v>0.81</v>
      </c>
      <c r="Y13" s="2">
        <v>9.0999999999999998E-2</v>
      </c>
      <c r="Z13" s="2">
        <v>0.12</v>
      </c>
      <c r="AA13" s="2">
        <v>3.4</v>
      </c>
      <c r="AB13" s="2">
        <v>2.8000000000000001E-2</v>
      </c>
      <c r="AC13" s="2">
        <v>0.28000000000000003</v>
      </c>
    </row>
    <row r="14" spans="1:29" x14ac:dyDescent="0.25">
      <c r="A14" t="s">
        <v>165</v>
      </c>
      <c r="C14">
        <v>1</v>
      </c>
      <c r="D14" t="s">
        <v>159</v>
      </c>
      <c r="E14" t="s">
        <v>152</v>
      </c>
      <c r="F14" s="9">
        <v>45809</v>
      </c>
      <c r="G14" t="s">
        <v>153</v>
      </c>
      <c r="H14">
        <v>17.64</v>
      </c>
    </row>
    <row r="15" spans="1:29" x14ac:dyDescent="0.25">
      <c r="A15" t="s">
        <v>165</v>
      </c>
      <c r="C15">
        <v>2</v>
      </c>
      <c r="D15" t="s">
        <v>159</v>
      </c>
      <c r="E15" t="s">
        <v>152</v>
      </c>
      <c r="F15" s="9">
        <v>45809</v>
      </c>
      <c r="G15" t="s">
        <v>153</v>
      </c>
      <c r="H15">
        <v>34.049999999999997</v>
      </c>
      <c r="I15">
        <f>SUM(H14:H15)</f>
        <v>51.69</v>
      </c>
      <c r="J15" t="s">
        <v>168</v>
      </c>
      <c r="K15">
        <v>13</v>
      </c>
      <c r="L15">
        <v>13</v>
      </c>
      <c r="M15" t="s">
        <v>1</v>
      </c>
      <c r="N15" s="8">
        <v>45.3</v>
      </c>
      <c r="O15" s="7">
        <v>1.214</v>
      </c>
      <c r="P15" s="7">
        <v>5.47</v>
      </c>
      <c r="Q15" s="2">
        <v>2.9</v>
      </c>
      <c r="R15" s="2">
        <v>4.8000000000000001E-2</v>
      </c>
      <c r="S15" s="2">
        <v>0.48</v>
      </c>
      <c r="T15" s="2">
        <v>0.11</v>
      </c>
      <c r="U15" s="2">
        <v>0.68</v>
      </c>
      <c r="V15" s="2">
        <v>0.89</v>
      </c>
      <c r="W15" s="2">
        <v>1.7</v>
      </c>
      <c r="X15" s="2">
        <v>1.2</v>
      </c>
      <c r="Y15" s="2">
        <v>0.12</v>
      </c>
      <c r="Z15" s="2">
        <v>0.11</v>
      </c>
      <c r="AA15" s="2">
        <v>3.7</v>
      </c>
      <c r="AB15" s="2">
        <v>4.8000000000000001E-2</v>
      </c>
      <c r="AC15" s="3">
        <v>0.4</v>
      </c>
    </row>
    <row r="16" spans="1:29" x14ac:dyDescent="0.25">
      <c r="A16" t="s">
        <v>166</v>
      </c>
      <c r="C16">
        <v>1</v>
      </c>
      <c r="D16" t="s">
        <v>159</v>
      </c>
      <c r="E16" t="s">
        <v>160</v>
      </c>
      <c r="F16" s="9">
        <v>45809</v>
      </c>
      <c r="G16" t="s">
        <v>153</v>
      </c>
      <c r="H16">
        <v>53.269999999999996</v>
      </c>
      <c r="K16">
        <v>14</v>
      </c>
      <c r="L16">
        <v>14</v>
      </c>
      <c r="M16" t="s">
        <v>1</v>
      </c>
      <c r="N16" s="8">
        <v>44.6</v>
      </c>
      <c r="O16" s="7">
        <v>1.3029999999999999</v>
      </c>
      <c r="P16" s="7">
        <v>5.35</v>
      </c>
      <c r="Q16" s="5">
        <v>2</v>
      </c>
      <c r="R16" s="2">
        <v>0.12</v>
      </c>
      <c r="S16" s="2">
        <v>0.25</v>
      </c>
      <c r="T16" s="2">
        <v>0.24</v>
      </c>
      <c r="U16" s="2">
        <v>0.5</v>
      </c>
      <c r="V16" s="2">
        <v>0.99</v>
      </c>
      <c r="W16" s="2">
        <v>1.5</v>
      </c>
      <c r="X16" s="3">
        <v>0.5</v>
      </c>
      <c r="Y16" s="2">
        <v>5.1999999999999998E-2</v>
      </c>
      <c r="Z16" s="2">
        <v>0.14000000000000001</v>
      </c>
      <c r="AA16" s="2">
        <v>3.9</v>
      </c>
      <c r="AB16" s="2">
        <v>2.4E-2</v>
      </c>
      <c r="AC16" s="2">
        <v>0.44</v>
      </c>
    </row>
    <row r="17" spans="1:29" x14ac:dyDescent="0.25">
      <c r="A17" t="s">
        <v>166</v>
      </c>
      <c r="C17">
        <v>1</v>
      </c>
      <c r="D17" t="s">
        <v>159</v>
      </c>
      <c r="E17" t="s">
        <v>152</v>
      </c>
      <c r="F17" s="9">
        <v>45809</v>
      </c>
      <c r="G17" t="s">
        <v>153</v>
      </c>
      <c r="H17">
        <v>41.39</v>
      </c>
      <c r="J17" t="s">
        <v>163</v>
      </c>
      <c r="K17">
        <v>15</v>
      </c>
      <c r="L17">
        <v>15</v>
      </c>
      <c r="M17" t="s">
        <v>1</v>
      </c>
      <c r="N17" s="8">
        <v>43.8</v>
      </c>
      <c r="O17" s="7">
        <v>1.1120000000000001</v>
      </c>
      <c r="P17" s="7">
        <v>4.68</v>
      </c>
      <c r="Q17" s="2">
        <v>2.2000000000000002</v>
      </c>
      <c r="R17" s="2">
        <v>4.2000000000000003E-2</v>
      </c>
      <c r="S17" s="2">
        <v>0.41</v>
      </c>
      <c r="T17" s="2">
        <v>8.1000000000000003E-2</v>
      </c>
      <c r="U17" s="2">
        <v>0.81</v>
      </c>
      <c r="V17" s="2">
        <v>0.76</v>
      </c>
      <c r="W17" s="5">
        <v>2</v>
      </c>
      <c r="X17" s="5">
        <v>1</v>
      </c>
      <c r="Y17" s="2">
        <v>8.5999999999999993E-2</v>
      </c>
      <c r="Z17" s="2">
        <v>9.4E-2</v>
      </c>
      <c r="AA17" s="2">
        <v>3.1</v>
      </c>
      <c r="AB17" s="2">
        <v>2.9000000000000001E-2</v>
      </c>
      <c r="AC17" s="2">
        <v>0.25</v>
      </c>
    </row>
    <row r="18" spans="1:29" x14ac:dyDescent="0.25">
      <c r="A18" t="s">
        <v>149</v>
      </c>
      <c r="B18" t="s">
        <v>150</v>
      </c>
      <c r="C18">
        <v>2</v>
      </c>
      <c r="D18" t="s">
        <v>151</v>
      </c>
      <c r="E18" t="s">
        <v>152</v>
      </c>
      <c r="F18" s="9">
        <v>45809</v>
      </c>
      <c r="G18" t="s">
        <v>2</v>
      </c>
      <c r="H18">
        <v>8.9817999999999998</v>
      </c>
      <c r="K18">
        <v>16</v>
      </c>
      <c r="L18">
        <v>16</v>
      </c>
      <c r="M18" t="s">
        <v>2</v>
      </c>
      <c r="N18" s="8">
        <v>44.3</v>
      </c>
      <c r="O18" s="7">
        <v>1.502</v>
      </c>
      <c r="P18" s="7">
        <v>6.1</v>
      </c>
      <c r="Q18" s="2">
        <v>3.6</v>
      </c>
      <c r="R18" s="2">
        <v>1.6E-2</v>
      </c>
      <c r="S18" s="2">
        <v>0.71</v>
      </c>
      <c r="T18" s="2">
        <v>3.9E-2</v>
      </c>
      <c r="U18" s="2">
        <v>2.6</v>
      </c>
      <c r="V18" s="2">
        <v>1.2</v>
      </c>
      <c r="W18" s="2">
        <v>13</v>
      </c>
      <c r="X18" s="2">
        <v>1.2</v>
      </c>
      <c r="Y18" s="2">
        <v>0.12</v>
      </c>
      <c r="Z18" s="2">
        <v>3.7999999999999999E-2</v>
      </c>
      <c r="AA18" s="2">
        <v>3.3</v>
      </c>
      <c r="AB18" s="2">
        <v>4.7E-2</v>
      </c>
      <c r="AC18" s="2">
        <v>0.32</v>
      </c>
    </row>
    <row r="19" spans="1:29" x14ac:dyDescent="0.25">
      <c r="A19" t="s">
        <v>154</v>
      </c>
      <c r="B19" t="s">
        <v>155</v>
      </c>
      <c r="C19">
        <v>3</v>
      </c>
      <c r="D19" t="s">
        <v>151</v>
      </c>
      <c r="E19" t="s">
        <v>152</v>
      </c>
      <c r="F19" s="9">
        <v>45809</v>
      </c>
      <c r="G19" t="s">
        <v>2</v>
      </c>
      <c r="H19">
        <v>2.1171000000000002</v>
      </c>
      <c r="K19">
        <v>17</v>
      </c>
      <c r="L19">
        <v>17</v>
      </c>
      <c r="M19" t="s">
        <v>2</v>
      </c>
      <c r="N19" s="8">
        <v>45.4</v>
      </c>
      <c r="O19" s="7">
        <v>1.4279999999999999</v>
      </c>
      <c r="P19" s="7">
        <v>6.47</v>
      </c>
      <c r="Q19" s="2">
        <v>4.9000000000000004</v>
      </c>
      <c r="R19" s="2">
        <v>0.02</v>
      </c>
      <c r="S19" s="3">
        <v>0.9</v>
      </c>
      <c r="T19" s="4">
        <v>0.04</v>
      </c>
      <c r="U19" s="2">
        <v>1.4</v>
      </c>
      <c r="V19" s="2">
        <v>0.86</v>
      </c>
      <c r="W19" s="2">
        <v>11</v>
      </c>
      <c r="X19" s="2">
        <v>2.5</v>
      </c>
      <c r="Y19" s="2">
        <v>0.56000000000000005</v>
      </c>
      <c r="Z19" s="2">
        <v>3.6999999999999998E-2</v>
      </c>
      <c r="AA19" s="2">
        <v>3.7</v>
      </c>
      <c r="AB19" s="4">
        <v>0.04</v>
      </c>
      <c r="AC19" s="2">
        <v>0.14000000000000001</v>
      </c>
    </row>
    <row r="20" spans="1:29" x14ac:dyDescent="0.25">
      <c r="A20" t="s">
        <v>156</v>
      </c>
      <c r="B20" t="s">
        <v>157</v>
      </c>
      <c r="C20">
        <v>3</v>
      </c>
      <c r="D20" t="s">
        <v>151</v>
      </c>
      <c r="E20" t="s">
        <v>152</v>
      </c>
      <c r="F20" s="9">
        <v>45809</v>
      </c>
      <c r="G20" t="s">
        <v>2</v>
      </c>
      <c r="H20">
        <v>5.4660000000000002</v>
      </c>
      <c r="K20">
        <v>18</v>
      </c>
      <c r="L20">
        <v>18</v>
      </c>
      <c r="M20" t="s">
        <v>2</v>
      </c>
      <c r="N20" s="8">
        <v>44.8</v>
      </c>
      <c r="O20" s="7">
        <v>1.6739999999999999</v>
      </c>
      <c r="P20" s="7">
        <v>6.49</v>
      </c>
      <c r="Q20" s="2">
        <v>4.8</v>
      </c>
      <c r="R20" s="2">
        <v>1.7999999999999999E-2</v>
      </c>
      <c r="S20" s="2">
        <v>0.71</v>
      </c>
      <c r="T20" s="2">
        <v>2.5000000000000001E-2</v>
      </c>
      <c r="U20" s="2">
        <v>1.9</v>
      </c>
      <c r="V20" s="2">
        <v>1.2</v>
      </c>
      <c r="W20" s="2">
        <v>14</v>
      </c>
      <c r="X20" s="2">
        <v>1.7</v>
      </c>
      <c r="Y20" s="2">
        <v>0.15</v>
      </c>
      <c r="Z20" s="2">
        <v>3.9E-2</v>
      </c>
      <c r="AA20" s="2">
        <v>4.4000000000000004</v>
      </c>
      <c r="AB20" s="2">
        <v>3.1E-2</v>
      </c>
      <c r="AC20" s="2">
        <v>0.16</v>
      </c>
    </row>
    <row r="21" spans="1:29" x14ac:dyDescent="0.25">
      <c r="A21" t="s">
        <v>158</v>
      </c>
      <c r="C21">
        <v>3</v>
      </c>
      <c r="D21" t="s">
        <v>159</v>
      </c>
      <c r="E21" t="s">
        <v>160</v>
      </c>
      <c r="F21" s="9">
        <v>45809</v>
      </c>
      <c r="G21" t="s">
        <v>2</v>
      </c>
      <c r="H21">
        <v>23.34</v>
      </c>
      <c r="K21">
        <v>19</v>
      </c>
      <c r="L21">
        <v>19</v>
      </c>
      <c r="M21" t="s">
        <v>2</v>
      </c>
      <c r="N21" s="8">
        <v>45.8</v>
      </c>
      <c r="O21" s="7">
        <v>1.8959999999999999</v>
      </c>
      <c r="P21" s="7">
        <v>6.48</v>
      </c>
      <c r="Q21" s="2">
        <v>3.5</v>
      </c>
      <c r="R21" s="2">
        <v>4.9000000000000002E-2</v>
      </c>
      <c r="S21" s="2">
        <v>0.88</v>
      </c>
      <c r="T21" s="2">
        <v>1.7000000000000001E-2</v>
      </c>
      <c r="U21" s="5">
        <v>1</v>
      </c>
      <c r="V21" s="2">
        <v>1.6</v>
      </c>
      <c r="W21" s="2">
        <v>11</v>
      </c>
      <c r="X21" s="2">
        <v>1.3</v>
      </c>
      <c r="Y21" s="2">
        <v>0.05</v>
      </c>
      <c r="Z21" s="2">
        <v>4.1000000000000002E-2</v>
      </c>
      <c r="AA21" s="2">
        <v>4.5999999999999996</v>
      </c>
      <c r="AB21" s="2">
        <v>3.7999999999999999E-2</v>
      </c>
      <c r="AC21" s="3">
        <v>0.2</v>
      </c>
    </row>
    <row r="22" spans="1:29" x14ac:dyDescent="0.25">
      <c r="A22" t="s">
        <v>158</v>
      </c>
      <c r="C22">
        <v>2</v>
      </c>
      <c r="D22" t="s">
        <v>159</v>
      </c>
      <c r="E22" t="s">
        <v>152</v>
      </c>
      <c r="F22" s="9">
        <v>45809</v>
      </c>
      <c r="G22" t="s">
        <v>2</v>
      </c>
      <c r="H22">
        <v>9.5212000000000003</v>
      </c>
      <c r="K22">
        <v>20</v>
      </c>
      <c r="L22">
        <v>20</v>
      </c>
      <c r="M22" t="s">
        <v>2</v>
      </c>
      <c r="N22" s="8">
        <v>46.7</v>
      </c>
      <c r="O22" s="7">
        <v>2.2639999999999998</v>
      </c>
      <c r="P22" s="7">
        <v>6.56</v>
      </c>
      <c r="Q22" s="2">
        <v>3.8</v>
      </c>
      <c r="R22" s="2">
        <v>2.4E-2</v>
      </c>
      <c r="S22" s="2">
        <v>1.2</v>
      </c>
      <c r="T22" s="2">
        <v>3.1E-2</v>
      </c>
      <c r="U22" s="2">
        <v>1.5</v>
      </c>
      <c r="V22" s="2">
        <v>1.8</v>
      </c>
      <c r="W22" s="2">
        <v>10</v>
      </c>
      <c r="X22" s="2">
        <v>2.1</v>
      </c>
      <c r="Y22" s="2">
        <v>0.12</v>
      </c>
      <c r="Z22" s="2">
        <v>5.7000000000000002E-2</v>
      </c>
      <c r="AA22" s="2">
        <v>7.3</v>
      </c>
      <c r="AB22" s="2">
        <v>8.5000000000000006E-2</v>
      </c>
      <c r="AC22" s="2">
        <v>0.52</v>
      </c>
    </row>
    <row r="23" spans="1:29" x14ac:dyDescent="0.25">
      <c r="A23" t="s">
        <v>161</v>
      </c>
      <c r="C23">
        <v>1</v>
      </c>
      <c r="D23" t="s">
        <v>159</v>
      </c>
      <c r="E23" t="s">
        <v>160</v>
      </c>
      <c r="F23" s="9">
        <v>45809</v>
      </c>
      <c r="G23" t="s">
        <v>2</v>
      </c>
      <c r="H23">
        <v>23.22</v>
      </c>
      <c r="K23">
        <v>21</v>
      </c>
      <c r="L23">
        <v>21</v>
      </c>
      <c r="M23" t="s">
        <v>2</v>
      </c>
      <c r="N23" s="8">
        <v>46.1</v>
      </c>
      <c r="O23" s="7">
        <v>1.8779999999999999</v>
      </c>
      <c r="P23" s="7">
        <v>6.49</v>
      </c>
      <c r="Q23" s="5">
        <v>3</v>
      </c>
      <c r="R23" s="2">
        <v>5.7000000000000002E-2</v>
      </c>
      <c r="S23" s="2">
        <v>1.2</v>
      </c>
      <c r="T23" s="4">
        <v>9.9000000000000008E-3</v>
      </c>
      <c r="U23" s="2">
        <v>1.1000000000000001</v>
      </c>
      <c r="V23" s="2">
        <v>1.6</v>
      </c>
      <c r="W23" s="2">
        <v>9.1999999999999993</v>
      </c>
      <c r="X23" s="2">
        <v>1.2</v>
      </c>
      <c r="Y23" s="2">
        <v>8.3000000000000004E-2</v>
      </c>
      <c r="Z23" s="2">
        <v>4.1000000000000002E-2</v>
      </c>
      <c r="AA23" s="2">
        <v>6.1</v>
      </c>
      <c r="AB23" s="4">
        <v>0.03</v>
      </c>
      <c r="AC23" s="2">
        <v>0.64</v>
      </c>
    </row>
    <row r="24" spans="1:29" x14ac:dyDescent="0.25">
      <c r="A24" t="s">
        <v>161</v>
      </c>
      <c r="C24">
        <v>1</v>
      </c>
      <c r="D24" t="s">
        <v>159</v>
      </c>
      <c r="E24" t="s">
        <v>152</v>
      </c>
      <c r="F24" s="9">
        <v>45809</v>
      </c>
      <c r="G24" t="s">
        <v>2</v>
      </c>
      <c r="H24">
        <v>30.12</v>
      </c>
      <c r="K24">
        <v>22</v>
      </c>
      <c r="L24">
        <v>22</v>
      </c>
      <c r="M24" t="s">
        <v>2</v>
      </c>
      <c r="N24" s="8">
        <v>45.4</v>
      </c>
      <c r="O24" s="7">
        <v>1.956</v>
      </c>
      <c r="P24" s="7">
        <v>6.42</v>
      </c>
      <c r="Q24" s="2">
        <v>3.5</v>
      </c>
      <c r="R24" s="2">
        <v>2.4E-2</v>
      </c>
      <c r="S24" s="2">
        <v>0.92</v>
      </c>
      <c r="T24" s="2">
        <v>1.4999999999999999E-2</v>
      </c>
      <c r="U24" s="5">
        <v>1</v>
      </c>
      <c r="V24" s="2">
        <v>1.6</v>
      </c>
      <c r="W24" s="2">
        <v>14</v>
      </c>
      <c r="X24" s="2">
        <v>1.3</v>
      </c>
      <c r="Y24" s="2">
        <v>0.25</v>
      </c>
      <c r="Z24" s="2">
        <v>4.2000000000000003E-2</v>
      </c>
      <c r="AA24" s="2">
        <v>5.0999999999999996</v>
      </c>
      <c r="AB24" s="2">
        <v>3.5999999999999997E-2</v>
      </c>
      <c r="AC24" s="2">
        <v>0.42</v>
      </c>
    </row>
    <row r="25" spans="1:29" x14ac:dyDescent="0.25">
      <c r="A25" t="s">
        <v>162</v>
      </c>
      <c r="C25">
        <v>1</v>
      </c>
      <c r="D25" t="s">
        <v>159</v>
      </c>
      <c r="E25" t="s">
        <v>160</v>
      </c>
      <c r="F25" s="9">
        <v>45809</v>
      </c>
      <c r="G25" t="s">
        <v>2</v>
      </c>
      <c r="H25">
        <v>24.82</v>
      </c>
      <c r="K25">
        <v>23</v>
      </c>
      <c r="L25">
        <v>23</v>
      </c>
      <c r="M25" t="s">
        <v>2</v>
      </c>
      <c r="N25" s="8">
        <v>44.5</v>
      </c>
      <c r="O25" s="7">
        <v>1.5309999999999999</v>
      </c>
      <c r="P25" s="7">
        <v>6.4</v>
      </c>
      <c r="Q25" s="5">
        <v>3</v>
      </c>
      <c r="R25" s="2">
        <v>1.9E-2</v>
      </c>
      <c r="S25" s="2">
        <v>0.84</v>
      </c>
      <c r="T25" s="2">
        <v>1.2999999999999999E-2</v>
      </c>
      <c r="U25" s="2">
        <v>2.2000000000000002</v>
      </c>
      <c r="V25" s="2">
        <v>1.1000000000000001</v>
      </c>
      <c r="W25" s="2">
        <v>15</v>
      </c>
      <c r="X25" s="2">
        <v>0.57999999999999996</v>
      </c>
      <c r="Y25" s="2">
        <v>0.15</v>
      </c>
      <c r="Z25" s="2">
        <v>3.5000000000000003E-2</v>
      </c>
      <c r="AA25" s="2">
        <v>3.2</v>
      </c>
      <c r="AB25" s="2">
        <v>2.5999999999999999E-2</v>
      </c>
      <c r="AC25" s="2">
        <v>0.41</v>
      </c>
    </row>
    <row r="26" spans="1:29" x14ac:dyDescent="0.25">
      <c r="A26" t="s">
        <v>162</v>
      </c>
      <c r="C26">
        <v>1</v>
      </c>
      <c r="D26" t="s">
        <v>159</v>
      </c>
      <c r="E26" t="s">
        <v>152</v>
      </c>
      <c r="F26" s="9">
        <v>45809</v>
      </c>
      <c r="G26" t="s">
        <v>2</v>
      </c>
      <c r="H26">
        <v>60.587999999999994</v>
      </c>
      <c r="K26">
        <v>24</v>
      </c>
      <c r="L26">
        <v>24</v>
      </c>
      <c r="M26" t="s">
        <v>2</v>
      </c>
      <c r="N26" s="8">
        <v>45.7</v>
      </c>
      <c r="O26" s="7">
        <v>1.952</v>
      </c>
      <c r="P26" s="7">
        <v>5.79</v>
      </c>
      <c r="Q26" s="2">
        <v>3.8</v>
      </c>
      <c r="R26" s="2">
        <v>0.25</v>
      </c>
      <c r="S26" s="2">
        <v>1.4</v>
      </c>
      <c r="T26" s="2">
        <v>2.4E-2</v>
      </c>
      <c r="U26" s="2">
        <v>1.9</v>
      </c>
      <c r="V26" s="2">
        <v>1.6</v>
      </c>
      <c r="W26" s="2">
        <v>14</v>
      </c>
      <c r="X26" s="2">
        <v>1.4</v>
      </c>
      <c r="Y26" s="2">
        <v>0.32</v>
      </c>
      <c r="Z26" s="2">
        <v>4.8000000000000001E-2</v>
      </c>
      <c r="AA26" s="2">
        <v>5.2</v>
      </c>
      <c r="AB26" s="2">
        <v>4.9000000000000002E-2</v>
      </c>
      <c r="AC26" s="2">
        <v>0.25</v>
      </c>
    </row>
    <row r="27" spans="1:29" x14ac:dyDescent="0.25">
      <c r="A27" t="s">
        <v>164</v>
      </c>
      <c r="C27">
        <v>2</v>
      </c>
      <c r="D27" t="s">
        <v>159</v>
      </c>
      <c r="E27" t="s">
        <v>160</v>
      </c>
      <c r="F27" s="9">
        <v>45809</v>
      </c>
      <c r="G27" t="s">
        <v>2</v>
      </c>
      <c r="H27">
        <v>17.2</v>
      </c>
      <c r="K27">
        <v>25</v>
      </c>
      <c r="L27">
        <v>25</v>
      </c>
      <c r="M27" t="s">
        <v>2</v>
      </c>
      <c r="N27" s="8">
        <v>46</v>
      </c>
      <c r="O27" s="7">
        <v>1.954</v>
      </c>
      <c r="P27" s="7">
        <v>6.4</v>
      </c>
      <c r="Q27" s="2">
        <v>2.5</v>
      </c>
      <c r="R27" s="2">
        <v>8.7999999999999995E-2</v>
      </c>
      <c r="S27" s="2">
        <v>0.65</v>
      </c>
      <c r="T27" s="4">
        <v>0.06</v>
      </c>
      <c r="U27" s="5">
        <v>1</v>
      </c>
      <c r="V27" s="2">
        <v>1.7</v>
      </c>
      <c r="W27" s="2">
        <v>8.4</v>
      </c>
      <c r="X27" s="2">
        <v>0.88</v>
      </c>
      <c r="Y27" s="2">
        <v>6.2E-2</v>
      </c>
      <c r="Z27" s="2">
        <v>5.6000000000000001E-2</v>
      </c>
      <c r="AA27" s="2">
        <v>5.4</v>
      </c>
      <c r="AB27" s="2">
        <v>3.2000000000000001E-2</v>
      </c>
      <c r="AC27" s="2">
        <v>0.47</v>
      </c>
    </row>
    <row r="28" spans="1:29" x14ac:dyDescent="0.25">
      <c r="A28" t="s">
        <v>164</v>
      </c>
      <c r="C28">
        <v>2</v>
      </c>
      <c r="D28" t="s">
        <v>159</v>
      </c>
      <c r="E28" t="s">
        <v>152</v>
      </c>
      <c r="F28" s="9">
        <v>45809</v>
      </c>
      <c r="G28" t="s">
        <v>2</v>
      </c>
      <c r="H28">
        <v>20.79</v>
      </c>
      <c r="K28">
        <v>26</v>
      </c>
      <c r="L28">
        <v>26</v>
      </c>
      <c r="M28" t="s">
        <v>2</v>
      </c>
      <c r="N28" s="8">
        <v>45.4</v>
      </c>
      <c r="O28" s="7">
        <v>1.837</v>
      </c>
      <c r="P28" s="7">
        <v>6.44</v>
      </c>
      <c r="Q28" s="2">
        <v>2.2999999999999998</v>
      </c>
      <c r="R28" s="2">
        <v>0.14000000000000001</v>
      </c>
      <c r="S28" s="2">
        <v>0.63</v>
      </c>
      <c r="T28" s="2">
        <v>5.3999999999999999E-2</v>
      </c>
      <c r="U28" s="2">
        <v>1.2</v>
      </c>
      <c r="V28" s="2">
        <v>1.7</v>
      </c>
      <c r="W28" s="2">
        <v>10</v>
      </c>
      <c r="X28" s="2">
        <v>0.87</v>
      </c>
      <c r="Y28" s="2">
        <v>9.0999999999999998E-2</v>
      </c>
      <c r="Z28" s="2">
        <v>4.1000000000000002E-2</v>
      </c>
      <c r="AA28" s="2">
        <v>4.5999999999999996</v>
      </c>
      <c r="AB28" s="2">
        <v>9.5000000000000001E-2</v>
      </c>
      <c r="AC28" s="3">
        <v>0.4</v>
      </c>
    </row>
    <row r="29" spans="1:29" x14ac:dyDescent="0.25">
      <c r="A29" t="s">
        <v>165</v>
      </c>
      <c r="C29">
        <v>1</v>
      </c>
      <c r="D29" t="s">
        <v>159</v>
      </c>
      <c r="E29" t="s">
        <v>160</v>
      </c>
      <c r="F29" s="9">
        <v>45809</v>
      </c>
      <c r="G29" t="s">
        <v>2</v>
      </c>
      <c r="H29">
        <v>14.29</v>
      </c>
      <c r="K29">
        <v>27</v>
      </c>
      <c r="L29">
        <v>27</v>
      </c>
      <c r="M29" t="s">
        <v>2</v>
      </c>
      <c r="N29" s="8">
        <v>45.4</v>
      </c>
      <c r="O29" s="7">
        <v>2.1509999999999998</v>
      </c>
      <c r="P29" s="7">
        <v>6.51</v>
      </c>
      <c r="Q29" s="2">
        <v>2.6</v>
      </c>
      <c r="R29" s="2">
        <v>3.2000000000000001E-2</v>
      </c>
      <c r="S29" s="2">
        <v>0.71</v>
      </c>
      <c r="T29" s="2">
        <v>4.1000000000000002E-2</v>
      </c>
      <c r="U29" s="2">
        <v>1.5</v>
      </c>
      <c r="V29" s="2">
        <v>1.7</v>
      </c>
      <c r="W29" s="2">
        <v>10</v>
      </c>
      <c r="X29" s="2">
        <v>0.9</v>
      </c>
      <c r="Y29" s="3">
        <v>0.1</v>
      </c>
      <c r="Z29" s="2">
        <v>4.2999999999999997E-2</v>
      </c>
      <c r="AA29" s="2">
        <v>4.9000000000000004</v>
      </c>
      <c r="AB29" s="2">
        <v>2.9000000000000001E-2</v>
      </c>
      <c r="AC29" s="2">
        <v>0.34</v>
      </c>
    </row>
    <row r="30" spans="1:29" x14ac:dyDescent="0.25">
      <c r="A30" t="s">
        <v>165</v>
      </c>
      <c r="C30">
        <v>1</v>
      </c>
      <c r="D30" t="s">
        <v>159</v>
      </c>
      <c r="E30" t="s">
        <v>152</v>
      </c>
      <c r="F30" s="9">
        <v>45809</v>
      </c>
      <c r="G30" t="s">
        <v>2</v>
      </c>
      <c r="H30">
        <v>8.4895999999999994</v>
      </c>
    </row>
    <row r="31" spans="1:29" x14ac:dyDescent="0.25">
      <c r="A31" t="s">
        <v>165</v>
      </c>
      <c r="C31">
        <v>2</v>
      </c>
      <c r="D31" t="s">
        <v>159</v>
      </c>
      <c r="E31" t="s">
        <v>152</v>
      </c>
      <c r="F31" s="9">
        <v>45809</v>
      </c>
      <c r="G31" t="s">
        <v>2</v>
      </c>
      <c r="H31">
        <v>22.5</v>
      </c>
      <c r="I31">
        <f>SUM(H30:H31)</f>
        <v>30.989599999999999</v>
      </c>
      <c r="J31" t="s">
        <v>168</v>
      </c>
      <c r="K31">
        <v>28</v>
      </c>
      <c r="L31">
        <v>28</v>
      </c>
      <c r="M31" t="s">
        <v>2</v>
      </c>
      <c r="N31" s="8">
        <v>45.1</v>
      </c>
      <c r="O31" s="7">
        <v>1.6950000000000001</v>
      </c>
      <c r="P31" s="7">
        <v>6.5</v>
      </c>
      <c r="Q31" s="2">
        <v>3.3</v>
      </c>
      <c r="R31" s="2">
        <v>2.7E-2</v>
      </c>
      <c r="S31" s="2">
        <v>0.83</v>
      </c>
      <c r="T31" s="2">
        <v>1.2E-2</v>
      </c>
      <c r="U31" s="2">
        <v>1.4</v>
      </c>
      <c r="V31" s="2">
        <v>1.5</v>
      </c>
      <c r="W31" s="2">
        <v>11</v>
      </c>
      <c r="X31" s="2">
        <v>1.1000000000000001</v>
      </c>
      <c r="Y31" s="2">
        <v>9.0999999999999998E-2</v>
      </c>
      <c r="Z31" s="2">
        <v>2.9000000000000001E-2</v>
      </c>
      <c r="AA31" s="5">
        <v>4</v>
      </c>
      <c r="AB31" s="2">
        <v>4.4999999999999998E-2</v>
      </c>
      <c r="AC31" s="2">
        <v>0.43</v>
      </c>
    </row>
    <row r="32" spans="1:29" x14ac:dyDescent="0.25">
      <c r="A32" t="s">
        <v>166</v>
      </c>
      <c r="C32">
        <v>1</v>
      </c>
      <c r="D32" t="s">
        <v>159</v>
      </c>
      <c r="E32" t="s">
        <v>160</v>
      </c>
      <c r="F32" s="9">
        <v>45809</v>
      </c>
      <c r="G32" t="s">
        <v>2</v>
      </c>
      <c r="H32">
        <v>17.010000000000002</v>
      </c>
      <c r="K32">
        <v>29</v>
      </c>
      <c r="L32">
        <v>29</v>
      </c>
      <c r="M32" t="s">
        <v>2</v>
      </c>
      <c r="N32" s="8">
        <v>45.4</v>
      </c>
      <c r="O32" s="7">
        <v>2.0649999999999999</v>
      </c>
      <c r="P32" s="7">
        <v>6.46</v>
      </c>
      <c r="Q32" s="2">
        <v>2.6</v>
      </c>
      <c r="R32" s="2">
        <v>6.3E-2</v>
      </c>
      <c r="S32" s="2">
        <v>0.67</v>
      </c>
      <c r="T32" s="2">
        <v>5.2999999999999999E-2</v>
      </c>
      <c r="U32" s="2">
        <v>1.3</v>
      </c>
      <c r="V32" s="2">
        <v>1.6</v>
      </c>
      <c r="W32" s="2">
        <v>10</v>
      </c>
      <c r="X32" s="2">
        <v>0.64</v>
      </c>
      <c r="Y32" s="2">
        <v>7.4999999999999997E-2</v>
      </c>
      <c r="Z32" s="2">
        <v>3.6999999999999998E-2</v>
      </c>
      <c r="AA32" s="2">
        <v>4.5999999999999996</v>
      </c>
      <c r="AB32" s="4">
        <v>0.03</v>
      </c>
      <c r="AC32" s="2">
        <v>0.52</v>
      </c>
    </row>
    <row r="33" spans="1:29" x14ac:dyDescent="0.25">
      <c r="A33" t="s">
        <v>166</v>
      </c>
      <c r="C33">
        <v>1</v>
      </c>
      <c r="D33" t="s">
        <v>159</v>
      </c>
      <c r="E33" t="s">
        <v>152</v>
      </c>
      <c r="F33" s="9">
        <v>45809</v>
      </c>
      <c r="G33" t="s">
        <v>2</v>
      </c>
      <c r="H33">
        <v>17.62</v>
      </c>
      <c r="K33">
        <v>30</v>
      </c>
      <c r="L33">
        <v>30</v>
      </c>
      <c r="M33" t="s">
        <v>2</v>
      </c>
      <c r="N33" s="8">
        <v>44.6</v>
      </c>
      <c r="O33" s="7">
        <v>1.522</v>
      </c>
      <c r="P33" s="7">
        <v>6.41</v>
      </c>
      <c r="Q33" s="2">
        <v>2.5</v>
      </c>
      <c r="R33" s="2">
        <v>2.4E-2</v>
      </c>
      <c r="S33" s="2">
        <v>0.66</v>
      </c>
      <c r="T33" s="2">
        <v>4.9000000000000002E-2</v>
      </c>
      <c r="U33" s="2">
        <v>1.8</v>
      </c>
      <c r="V33" s="2">
        <v>1.2</v>
      </c>
      <c r="W33" s="2">
        <v>10</v>
      </c>
      <c r="X33" s="2">
        <v>0.78</v>
      </c>
      <c r="Y33" s="2">
        <v>5.7000000000000002E-2</v>
      </c>
      <c r="Z33" s="2">
        <v>3.3000000000000002E-2</v>
      </c>
      <c r="AA33" s="2">
        <v>3.2</v>
      </c>
      <c r="AB33" s="2">
        <v>2.7E-2</v>
      </c>
      <c r="AC33" s="2">
        <v>0.39</v>
      </c>
    </row>
    <row r="34" spans="1:29" x14ac:dyDescent="0.25">
      <c r="A34" t="s">
        <v>149</v>
      </c>
      <c r="B34" t="s">
        <v>150</v>
      </c>
      <c r="C34">
        <v>2</v>
      </c>
      <c r="D34" t="s">
        <v>151</v>
      </c>
      <c r="E34" t="s">
        <v>152</v>
      </c>
      <c r="F34" s="9">
        <v>45809</v>
      </c>
      <c r="G34" t="s">
        <v>3</v>
      </c>
      <c r="H34">
        <v>0.80879999999999996</v>
      </c>
    </row>
    <row r="35" spans="1:29" x14ac:dyDescent="0.25">
      <c r="A35" t="s">
        <v>149</v>
      </c>
      <c r="B35" t="s">
        <v>150</v>
      </c>
      <c r="C35">
        <v>1</v>
      </c>
      <c r="D35" t="s">
        <v>151</v>
      </c>
      <c r="E35" t="s">
        <v>152</v>
      </c>
      <c r="F35" s="9">
        <v>45809</v>
      </c>
      <c r="G35" t="s">
        <v>3</v>
      </c>
      <c r="H35">
        <v>5.5883000000000003</v>
      </c>
    </row>
    <row r="36" spans="1:29" x14ac:dyDescent="0.25">
      <c r="A36" t="s">
        <v>149</v>
      </c>
      <c r="B36" t="s">
        <v>150</v>
      </c>
      <c r="C36">
        <v>3</v>
      </c>
      <c r="D36" t="s">
        <v>151</v>
      </c>
      <c r="E36" t="s">
        <v>152</v>
      </c>
      <c r="F36" s="9">
        <v>45809</v>
      </c>
      <c r="G36" t="s">
        <v>3</v>
      </c>
      <c r="H36">
        <v>13.42</v>
      </c>
      <c r="I36">
        <f>SUM(H34:H36)</f>
        <v>19.8171</v>
      </c>
      <c r="J36" t="s">
        <v>167</v>
      </c>
      <c r="K36">
        <v>31</v>
      </c>
      <c r="L36">
        <v>31</v>
      </c>
      <c r="M36" t="s">
        <v>3</v>
      </c>
      <c r="N36" s="8">
        <v>45.2</v>
      </c>
      <c r="O36" s="7">
        <v>2.0870000000000002</v>
      </c>
      <c r="P36" s="7">
        <v>6.47</v>
      </c>
      <c r="Q36" s="2">
        <v>19</v>
      </c>
      <c r="R36" s="2">
        <v>5.5E-2</v>
      </c>
      <c r="S36" s="2">
        <v>2.5</v>
      </c>
      <c r="T36" s="2">
        <v>7.5999999999999998E-2</v>
      </c>
      <c r="U36" s="5">
        <v>4</v>
      </c>
      <c r="V36" s="2">
        <v>1.2</v>
      </c>
      <c r="W36" s="2">
        <v>13</v>
      </c>
      <c r="X36" s="2">
        <v>5.4</v>
      </c>
      <c r="Y36" s="2">
        <v>0.12</v>
      </c>
      <c r="Z36" s="2">
        <v>5.0999999999999997E-2</v>
      </c>
      <c r="AA36" s="2">
        <v>9.1</v>
      </c>
      <c r="AB36" s="2">
        <v>5.7000000000000002E-2</v>
      </c>
      <c r="AC36" s="2">
        <v>0.23</v>
      </c>
    </row>
    <row r="37" spans="1:29" x14ac:dyDescent="0.25">
      <c r="A37" t="s">
        <v>154</v>
      </c>
      <c r="B37" t="s">
        <v>155</v>
      </c>
      <c r="C37">
        <v>3</v>
      </c>
      <c r="D37" t="s">
        <v>151</v>
      </c>
      <c r="E37" t="s">
        <v>152</v>
      </c>
      <c r="F37" s="9">
        <v>45809</v>
      </c>
      <c r="G37" t="s">
        <v>3</v>
      </c>
      <c r="H37">
        <v>25.21</v>
      </c>
      <c r="J37" t="s">
        <v>163</v>
      </c>
      <c r="K37">
        <v>32</v>
      </c>
      <c r="L37">
        <v>32</v>
      </c>
      <c r="M37" t="s">
        <v>3</v>
      </c>
      <c r="N37" s="8">
        <v>44.7</v>
      </c>
      <c r="O37" s="7">
        <v>2.4820000000000002</v>
      </c>
      <c r="P37" s="7">
        <v>5.7</v>
      </c>
      <c r="Q37" s="2">
        <v>16</v>
      </c>
      <c r="R37" s="3">
        <v>0.3</v>
      </c>
      <c r="S37" s="2">
        <v>5.3</v>
      </c>
      <c r="T37" s="2">
        <v>0.11</v>
      </c>
      <c r="U37" s="2">
        <v>2.4</v>
      </c>
      <c r="V37" s="2">
        <v>1.4</v>
      </c>
      <c r="W37" s="2">
        <v>18</v>
      </c>
      <c r="X37" s="2">
        <v>14</v>
      </c>
      <c r="Y37" s="2">
        <v>0.27</v>
      </c>
      <c r="Z37" s="2">
        <v>4.4999999999999998E-2</v>
      </c>
      <c r="AA37" s="2">
        <v>6.4</v>
      </c>
      <c r="AB37" s="2">
        <v>7.1999999999999995E-2</v>
      </c>
      <c r="AC37" s="2">
        <v>0.16</v>
      </c>
    </row>
    <row r="38" spans="1:29" x14ac:dyDescent="0.25">
      <c r="A38" t="s">
        <v>156</v>
      </c>
      <c r="B38" t="s">
        <v>157</v>
      </c>
      <c r="C38">
        <v>3</v>
      </c>
      <c r="D38" t="s">
        <v>151</v>
      </c>
      <c r="E38" t="s">
        <v>152</v>
      </c>
      <c r="F38" s="9">
        <v>45809</v>
      </c>
      <c r="G38" t="s">
        <v>3</v>
      </c>
      <c r="H38">
        <v>9.3612000000000002</v>
      </c>
      <c r="K38">
        <v>33</v>
      </c>
      <c r="L38">
        <v>33</v>
      </c>
      <c r="M38" t="s">
        <v>3</v>
      </c>
      <c r="N38" s="8">
        <v>43</v>
      </c>
      <c r="O38" s="7">
        <v>2.665</v>
      </c>
      <c r="P38" s="7">
        <v>5.34</v>
      </c>
      <c r="Q38" s="2">
        <v>20</v>
      </c>
      <c r="R38" s="3">
        <v>0.2</v>
      </c>
      <c r="S38" s="2">
        <v>6.5</v>
      </c>
      <c r="T38" s="3">
        <v>0.2</v>
      </c>
      <c r="U38" s="2">
        <v>3.7</v>
      </c>
      <c r="V38" s="2">
        <v>2.4</v>
      </c>
      <c r="W38" s="2">
        <v>17</v>
      </c>
      <c r="X38" s="2">
        <v>23</v>
      </c>
      <c r="Y38" s="2">
        <v>0.12</v>
      </c>
      <c r="Z38" s="2">
        <v>4.8000000000000001E-2</v>
      </c>
      <c r="AA38" s="2">
        <v>6.6</v>
      </c>
      <c r="AB38" s="2">
        <v>3.3000000000000002E-2</v>
      </c>
      <c r="AC38" s="2">
        <v>9.8000000000000004E-2</v>
      </c>
    </row>
    <row r="39" spans="1:29" x14ac:dyDescent="0.25">
      <c r="A39" t="s">
        <v>158</v>
      </c>
      <c r="C39">
        <v>1</v>
      </c>
      <c r="D39" t="s">
        <v>159</v>
      </c>
      <c r="E39" t="s">
        <v>160</v>
      </c>
      <c r="F39" s="9">
        <v>45809</v>
      </c>
      <c r="G39" t="s">
        <v>3</v>
      </c>
      <c r="H39">
        <v>5.2900000000000003E-2</v>
      </c>
    </row>
    <row r="40" spans="1:29" x14ac:dyDescent="0.25">
      <c r="A40" t="s">
        <v>158</v>
      </c>
      <c r="C40">
        <v>2</v>
      </c>
      <c r="D40" t="s">
        <v>159</v>
      </c>
      <c r="E40" t="s">
        <v>160</v>
      </c>
      <c r="F40" s="9">
        <v>45809</v>
      </c>
      <c r="G40" t="s">
        <v>3</v>
      </c>
      <c r="H40">
        <v>1.7100000000000001E-2</v>
      </c>
    </row>
    <row r="41" spans="1:29" x14ac:dyDescent="0.25">
      <c r="A41" t="s">
        <v>158</v>
      </c>
      <c r="C41">
        <v>3</v>
      </c>
      <c r="D41" t="s">
        <v>159</v>
      </c>
      <c r="E41" t="s">
        <v>160</v>
      </c>
      <c r="F41" s="9">
        <v>45809</v>
      </c>
      <c r="G41" t="s">
        <v>3</v>
      </c>
      <c r="H41">
        <v>0.25590000000000002</v>
      </c>
      <c r="I41">
        <f>SUM(H39:H41)</f>
        <v>0.32590000000000002</v>
      </c>
      <c r="J41" t="s">
        <v>167</v>
      </c>
      <c r="K41">
        <v>34</v>
      </c>
      <c r="L41">
        <v>34</v>
      </c>
      <c r="M41" t="s">
        <v>3</v>
      </c>
      <c r="N41" s="8">
        <v>46.4</v>
      </c>
      <c r="O41" s="7">
        <v>2.2799999999999998</v>
      </c>
      <c r="P41" s="7">
        <v>6.16</v>
      </c>
      <c r="Q41" s="2">
        <v>14</v>
      </c>
      <c r="R41" s="2">
        <v>3.7999999999999999E-2</v>
      </c>
      <c r="S41" s="2">
        <v>3.9</v>
      </c>
      <c r="T41" s="2">
        <v>8.3000000000000004E-2</v>
      </c>
      <c r="U41" s="2">
        <v>1.9</v>
      </c>
      <c r="V41" s="2">
        <v>1.9</v>
      </c>
      <c r="W41" s="2">
        <v>24</v>
      </c>
      <c r="X41" s="2">
        <v>4.0999999999999996</v>
      </c>
      <c r="Y41" s="2">
        <v>6.4000000000000001E-2</v>
      </c>
      <c r="Z41" s="2">
        <v>8.5000000000000006E-2</v>
      </c>
      <c r="AA41" s="2">
        <v>7.1</v>
      </c>
      <c r="AB41" s="2">
        <v>7.8E-2</v>
      </c>
      <c r="AC41" s="2">
        <v>0.13</v>
      </c>
    </row>
    <row r="42" spans="1:29" x14ac:dyDescent="0.25">
      <c r="A42" t="s">
        <v>158</v>
      </c>
      <c r="C42">
        <v>2</v>
      </c>
      <c r="D42" t="s">
        <v>159</v>
      </c>
      <c r="E42" t="s">
        <v>152</v>
      </c>
      <c r="F42" s="9">
        <v>45809</v>
      </c>
      <c r="G42" t="s">
        <v>3</v>
      </c>
      <c r="H42">
        <v>0</v>
      </c>
    </row>
    <row r="43" spans="1:29" x14ac:dyDescent="0.25">
      <c r="A43" t="s">
        <v>158</v>
      </c>
      <c r="C43">
        <v>3</v>
      </c>
      <c r="D43" t="s">
        <v>159</v>
      </c>
      <c r="E43" t="s">
        <v>152</v>
      </c>
      <c r="F43" s="9">
        <v>45809</v>
      </c>
      <c r="G43" t="s">
        <v>3</v>
      </c>
      <c r="H43">
        <v>2.12E-2</v>
      </c>
      <c r="I43">
        <f>SUM(H42:H43)</f>
        <v>2.12E-2</v>
      </c>
      <c r="J43" t="s">
        <v>168</v>
      </c>
      <c r="K43">
        <v>35</v>
      </c>
      <c r="L43">
        <v>35</v>
      </c>
      <c r="M43" t="s">
        <v>3</v>
      </c>
      <c r="N43" s="8">
        <v>42.3</v>
      </c>
      <c r="O43" s="7">
        <v>2.57</v>
      </c>
      <c r="P43" s="7">
        <v>0.501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5">
      <c r="A44" t="s">
        <v>161</v>
      </c>
      <c r="C44">
        <v>1</v>
      </c>
      <c r="D44" t="s">
        <v>159</v>
      </c>
      <c r="E44" t="s">
        <v>160</v>
      </c>
      <c r="F44" s="9">
        <v>45809</v>
      </c>
      <c r="G44" t="s">
        <v>3</v>
      </c>
      <c r="H44">
        <v>1.5599999999999999E-2</v>
      </c>
    </row>
    <row r="45" spans="1:29" x14ac:dyDescent="0.25">
      <c r="A45" t="s">
        <v>161</v>
      </c>
      <c r="C45">
        <v>2</v>
      </c>
      <c r="D45" t="s">
        <v>159</v>
      </c>
      <c r="E45" t="s">
        <v>160</v>
      </c>
      <c r="F45" s="9">
        <v>45809</v>
      </c>
      <c r="G45" t="s">
        <v>3</v>
      </c>
      <c r="H45">
        <v>0.29980000000000001</v>
      </c>
    </row>
    <row r="46" spans="1:29" x14ac:dyDescent="0.25">
      <c r="A46" t="s">
        <v>161</v>
      </c>
      <c r="C46">
        <v>3</v>
      </c>
      <c r="D46" t="s">
        <v>159</v>
      </c>
      <c r="E46" t="s">
        <v>160</v>
      </c>
      <c r="F46" s="9">
        <v>45809</v>
      </c>
      <c r="G46" t="s">
        <v>3</v>
      </c>
      <c r="H46">
        <v>1.2814000000000001</v>
      </c>
      <c r="I46">
        <f>SUM(H44:H46)</f>
        <v>1.5968</v>
      </c>
      <c r="J46" t="s">
        <v>167</v>
      </c>
      <c r="K46">
        <v>36</v>
      </c>
      <c r="L46">
        <v>36</v>
      </c>
      <c r="M46" t="s">
        <v>3</v>
      </c>
      <c r="N46" s="8">
        <v>44.3</v>
      </c>
      <c r="O46" s="7">
        <v>2.3639999999999999</v>
      </c>
      <c r="P46" s="7">
        <v>5.82</v>
      </c>
      <c r="Q46" s="2">
        <v>13</v>
      </c>
      <c r="R46" s="2">
        <v>0.35</v>
      </c>
      <c r="S46" s="2">
        <v>5.8</v>
      </c>
      <c r="T46" s="2">
        <v>0.24</v>
      </c>
      <c r="U46" s="2">
        <v>3.3</v>
      </c>
      <c r="V46" s="2">
        <v>1.7</v>
      </c>
      <c r="W46" s="2">
        <v>17</v>
      </c>
      <c r="X46" s="2">
        <v>13</v>
      </c>
      <c r="Y46" s="2">
        <v>0.21</v>
      </c>
      <c r="Z46" s="2">
        <v>5.7000000000000002E-2</v>
      </c>
      <c r="AA46" s="2">
        <v>5.8</v>
      </c>
      <c r="AB46" s="2">
        <v>4.1000000000000002E-2</v>
      </c>
      <c r="AC46" s="3">
        <v>0.5</v>
      </c>
    </row>
    <row r="47" spans="1:29" x14ac:dyDescent="0.25">
      <c r="A47" t="s">
        <v>161</v>
      </c>
      <c r="C47">
        <v>1</v>
      </c>
      <c r="D47" t="s">
        <v>159</v>
      </c>
      <c r="E47" t="s">
        <v>152</v>
      </c>
      <c r="F47" s="9">
        <v>45809</v>
      </c>
      <c r="G47" t="s">
        <v>3</v>
      </c>
      <c r="H47">
        <v>1.3485</v>
      </c>
      <c r="K47">
        <v>37</v>
      </c>
      <c r="L47">
        <v>37</v>
      </c>
      <c r="M47" t="s">
        <v>3</v>
      </c>
      <c r="N47" s="8">
        <v>46.4</v>
      </c>
      <c r="O47" s="7">
        <v>2.6779999999999999</v>
      </c>
      <c r="P47" s="7">
        <v>6.24</v>
      </c>
      <c r="Q47" s="2">
        <v>11</v>
      </c>
      <c r="R47" s="2">
        <v>8.7999999999999995E-2</v>
      </c>
      <c r="S47" s="2">
        <v>4.5999999999999996</v>
      </c>
      <c r="T47" s="2">
        <v>8.4000000000000005E-2</v>
      </c>
      <c r="U47" s="2">
        <v>1.7</v>
      </c>
      <c r="V47" s="2">
        <v>2.6</v>
      </c>
      <c r="W47" s="2">
        <v>25</v>
      </c>
      <c r="X47" s="2">
        <v>5.0999999999999996</v>
      </c>
      <c r="Y47" s="2">
        <v>0.47</v>
      </c>
      <c r="Z47" s="2">
        <v>4.5999999999999999E-2</v>
      </c>
      <c r="AA47" s="2">
        <v>6.1</v>
      </c>
      <c r="AB47" s="2">
        <v>7.5999999999999998E-2</v>
      </c>
      <c r="AC47" s="2">
        <v>0.28000000000000003</v>
      </c>
    </row>
    <row r="48" spans="1:29" x14ac:dyDescent="0.25">
      <c r="A48" t="s">
        <v>162</v>
      </c>
      <c r="C48">
        <v>1</v>
      </c>
      <c r="D48" t="s">
        <v>159</v>
      </c>
      <c r="E48" t="s">
        <v>160</v>
      </c>
      <c r="F48" s="9">
        <v>45809</v>
      </c>
      <c r="G48" t="s">
        <v>3</v>
      </c>
      <c r="H48">
        <v>0.50860000000000005</v>
      </c>
    </row>
    <row r="49" spans="1:29" x14ac:dyDescent="0.25">
      <c r="A49" t="s">
        <v>162</v>
      </c>
      <c r="C49">
        <v>3</v>
      </c>
      <c r="D49" t="s">
        <v>159</v>
      </c>
      <c r="E49" t="s">
        <v>160</v>
      </c>
      <c r="F49" s="9">
        <v>45809</v>
      </c>
      <c r="G49" t="s">
        <v>3</v>
      </c>
      <c r="H49">
        <v>0.48530000000000001</v>
      </c>
      <c r="I49">
        <f>SUM(H48:H49)</f>
        <v>0.99390000000000001</v>
      </c>
      <c r="J49" t="s">
        <v>168</v>
      </c>
      <c r="K49">
        <v>38</v>
      </c>
      <c r="L49">
        <v>38</v>
      </c>
      <c r="M49" t="s">
        <v>3</v>
      </c>
      <c r="N49" s="8">
        <v>46</v>
      </c>
      <c r="O49" s="7">
        <v>2.5409999999999999</v>
      </c>
      <c r="P49" s="7">
        <v>6.24</v>
      </c>
      <c r="Q49" s="2">
        <v>13</v>
      </c>
      <c r="R49" s="2">
        <v>4.2999999999999997E-2</v>
      </c>
      <c r="S49" s="2">
        <v>6.9</v>
      </c>
      <c r="T49" s="2">
        <v>4.2000000000000003E-2</v>
      </c>
      <c r="U49" s="2">
        <v>3.5</v>
      </c>
      <c r="V49" s="2">
        <v>1.7</v>
      </c>
      <c r="W49" s="2">
        <v>22</v>
      </c>
      <c r="X49" s="2">
        <v>4.0999999999999996</v>
      </c>
      <c r="Y49" s="2">
        <v>0.31</v>
      </c>
      <c r="Z49" s="2">
        <v>5.3999999999999999E-2</v>
      </c>
      <c r="AA49" s="2">
        <v>5.9</v>
      </c>
      <c r="AB49" s="2">
        <v>3.3000000000000002E-2</v>
      </c>
      <c r="AC49" s="2">
        <v>0.25</v>
      </c>
    </row>
    <row r="50" spans="1:29" x14ac:dyDescent="0.25">
      <c r="A50" t="s">
        <v>162</v>
      </c>
      <c r="C50">
        <v>1</v>
      </c>
      <c r="D50" t="s">
        <v>159</v>
      </c>
      <c r="E50" t="s">
        <v>152</v>
      </c>
      <c r="F50" s="9">
        <v>45809</v>
      </c>
      <c r="G50" t="s">
        <v>3</v>
      </c>
      <c r="H50">
        <v>2.7267000000000001</v>
      </c>
    </row>
    <row r="51" spans="1:29" x14ac:dyDescent="0.25">
      <c r="A51" t="s">
        <v>162</v>
      </c>
      <c r="C51">
        <v>3</v>
      </c>
      <c r="D51" t="s">
        <v>159</v>
      </c>
      <c r="E51" t="s">
        <v>152</v>
      </c>
      <c r="F51" s="9">
        <v>45809</v>
      </c>
      <c r="G51" t="s">
        <v>3</v>
      </c>
      <c r="H51">
        <v>0.76539999999999997</v>
      </c>
      <c r="I51">
        <f>SUM(H50:H51)</f>
        <v>3.4921000000000002</v>
      </c>
      <c r="J51" t="s">
        <v>168</v>
      </c>
      <c r="K51">
        <v>39</v>
      </c>
      <c r="L51">
        <v>39</v>
      </c>
      <c r="M51" t="s">
        <v>3</v>
      </c>
      <c r="N51" s="8">
        <v>47.5</v>
      </c>
      <c r="O51" s="7">
        <v>2.5720000000000001</v>
      </c>
      <c r="P51" s="7">
        <v>6.33</v>
      </c>
      <c r="Q51" s="2">
        <v>12</v>
      </c>
      <c r="R51" s="2">
        <v>0.11</v>
      </c>
      <c r="S51" s="2">
        <v>3.4</v>
      </c>
      <c r="T51" s="2">
        <v>8.7999999999999995E-2</v>
      </c>
      <c r="U51" s="2">
        <v>2.2999999999999998</v>
      </c>
      <c r="V51" s="5">
        <v>2</v>
      </c>
      <c r="W51" s="2">
        <v>13</v>
      </c>
      <c r="X51" s="2">
        <v>4.3</v>
      </c>
      <c r="Y51" s="2">
        <v>0.65</v>
      </c>
      <c r="Z51" s="2">
        <v>0.11</v>
      </c>
      <c r="AA51" s="2">
        <v>6.7</v>
      </c>
      <c r="AB51" s="2">
        <v>0.11</v>
      </c>
      <c r="AC51" s="3">
        <v>0.4</v>
      </c>
    </row>
    <row r="52" spans="1:29" x14ac:dyDescent="0.25">
      <c r="A52" t="s">
        <v>164</v>
      </c>
      <c r="C52">
        <v>2</v>
      </c>
      <c r="D52" t="s">
        <v>159</v>
      </c>
      <c r="E52" t="s">
        <v>160</v>
      </c>
      <c r="F52" s="9">
        <v>45809</v>
      </c>
      <c r="G52" t="s">
        <v>3</v>
      </c>
      <c r="H52">
        <v>0.32600000000000001</v>
      </c>
      <c r="K52">
        <v>40</v>
      </c>
      <c r="L52">
        <v>40</v>
      </c>
      <c r="M52" t="s">
        <v>3</v>
      </c>
      <c r="N52" s="8">
        <v>45.5</v>
      </c>
      <c r="O52" s="7">
        <v>3.677</v>
      </c>
      <c r="P52" s="7">
        <v>6.17</v>
      </c>
      <c r="Q52" s="2">
        <v>21</v>
      </c>
      <c r="R52" s="2">
        <v>0.19</v>
      </c>
      <c r="S52" s="2">
        <v>4.8</v>
      </c>
      <c r="T52" s="2">
        <v>0.11</v>
      </c>
      <c r="U52" s="2">
        <v>3.1</v>
      </c>
      <c r="V52" s="2">
        <v>2.9</v>
      </c>
      <c r="W52" s="2">
        <v>19</v>
      </c>
      <c r="X52" s="2">
        <v>4.0999999999999996</v>
      </c>
      <c r="Y52" s="2">
        <v>4.7E-2</v>
      </c>
      <c r="Z52" s="2">
        <v>7.5999999999999998E-2</v>
      </c>
      <c r="AA52" s="2">
        <v>11</v>
      </c>
      <c r="AB52" s="2">
        <v>7.0999999999999994E-2</v>
      </c>
      <c r="AC52" s="2">
        <v>0.57999999999999996</v>
      </c>
    </row>
    <row r="53" spans="1:29" x14ac:dyDescent="0.25">
      <c r="A53" t="s">
        <v>164</v>
      </c>
      <c r="C53">
        <v>1</v>
      </c>
      <c r="D53" t="s">
        <v>159</v>
      </c>
      <c r="E53" t="s">
        <v>152</v>
      </c>
      <c r="F53" s="9">
        <v>45809</v>
      </c>
      <c r="G53" t="s">
        <v>3</v>
      </c>
      <c r="H53">
        <v>0.66369999999999996</v>
      </c>
    </row>
    <row r="54" spans="1:29" x14ac:dyDescent="0.25">
      <c r="A54" t="s">
        <v>164</v>
      </c>
      <c r="C54">
        <v>2</v>
      </c>
      <c r="D54" t="s">
        <v>159</v>
      </c>
      <c r="E54" t="s">
        <v>152</v>
      </c>
      <c r="F54" s="9">
        <v>45809</v>
      </c>
      <c r="G54" t="s">
        <v>3</v>
      </c>
      <c r="H54">
        <v>9.6000000000000002E-2</v>
      </c>
    </row>
    <row r="55" spans="1:29" x14ac:dyDescent="0.25">
      <c r="A55" t="s">
        <v>164</v>
      </c>
      <c r="C55">
        <v>3</v>
      </c>
      <c r="D55" t="s">
        <v>159</v>
      </c>
      <c r="E55" t="s">
        <v>152</v>
      </c>
      <c r="F55" s="9">
        <v>45809</v>
      </c>
      <c r="G55" t="s">
        <v>3</v>
      </c>
      <c r="H55">
        <v>0.32100000000000001</v>
      </c>
      <c r="I55">
        <f>SUM(H53:H55)</f>
        <v>1.0807</v>
      </c>
      <c r="J55" t="s">
        <v>167</v>
      </c>
      <c r="K55">
        <v>41</v>
      </c>
      <c r="L55">
        <v>41</v>
      </c>
      <c r="M55" t="s">
        <v>3</v>
      </c>
      <c r="N55" s="8">
        <v>46.8</v>
      </c>
      <c r="O55" s="7">
        <v>3.387</v>
      </c>
      <c r="P55" s="7">
        <v>6.29</v>
      </c>
      <c r="Q55" s="2">
        <v>21</v>
      </c>
      <c r="R55" s="2">
        <v>5.1999999999999998E-2</v>
      </c>
      <c r="S55" s="2">
        <v>2.2000000000000002</v>
      </c>
      <c r="T55" s="2">
        <v>8.4000000000000005E-2</v>
      </c>
      <c r="U55" s="2">
        <v>3.5</v>
      </c>
      <c r="V55" s="2">
        <v>2.2999999999999998</v>
      </c>
      <c r="W55" s="2">
        <v>31</v>
      </c>
      <c r="X55" s="2">
        <v>3.6</v>
      </c>
      <c r="Y55" s="2">
        <v>0.19</v>
      </c>
      <c r="Z55" s="2">
        <v>7.8E-2</v>
      </c>
      <c r="AA55" s="2">
        <v>14</v>
      </c>
      <c r="AB55" s="2">
        <v>0.17</v>
      </c>
      <c r="AC55" s="2">
        <v>0.54</v>
      </c>
    </row>
    <row r="56" spans="1:29" x14ac:dyDescent="0.25">
      <c r="A56" t="s">
        <v>165</v>
      </c>
      <c r="C56">
        <v>1</v>
      </c>
      <c r="D56" t="s">
        <v>159</v>
      </c>
      <c r="E56" t="s">
        <v>160</v>
      </c>
      <c r="F56" s="9">
        <v>45809</v>
      </c>
      <c r="G56" t="s">
        <v>3</v>
      </c>
      <c r="H56">
        <v>0.22850000000000001</v>
      </c>
    </row>
    <row r="57" spans="1:29" x14ac:dyDescent="0.25">
      <c r="A57" t="s">
        <v>165</v>
      </c>
      <c r="C57">
        <v>2</v>
      </c>
      <c r="D57" t="s">
        <v>159</v>
      </c>
      <c r="E57" t="s">
        <v>160</v>
      </c>
      <c r="F57" s="9">
        <v>45809</v>
      </c>
      <c r="G57" t="s">
        <v>3</v>
      </c>
      <c r="H57">
        <v>0.10970000000000001</v>
      </c>
    </row>
    <row r="58" spans="1:29" x14ac:dyDescent="0.25">
      <c r="A58" t="s">
        <v>165</v>
      </c>
      <c r="C58">
        <v>3</v>
      </c>
      <c r="D58" t="s">
        <v>159</v>
      </c>
      <c r="E58" t="s">
        <v>160</v>
      </c>
      <c r="F58" s="9">
        <v>45809</v>
      </c>
      <c r="G58" t="s">
        <v>3</v>
      </c>
      <c r="H58">
        <v>0.33189999999999997</v>
      </c>
      <c r="I58">
        <f>SUM(H56:H58)</f>
        <v>0.67009999999999992</v>
      </c>
      <c r="J58" t="s">
        <v>167</v>
      </c>
      <c r="K58">
        <v>42</v>
      </c>
      <c r="L58">
        <v>42</v>
      </c>
      <c r="M58" t="s">
        <v>3</v>
      </c>
      <c r="N58" s="8">
        <v>46.3</v>
      </c>
      <c r="O58" s="7">
        <v>3.1749999999999998</v>
      </c>
      <c r="P58" s="7">
        <v>6.41</v>
      </c>
      <c r="Q58" s="2">
        <v>11</v>
      </c>
      <c r="R58" s="2">
        <v>4.7E-2</v>
      </c>
      <c r="S58" s="2">
        <v>4.0999999999999996</v>
      </c>
      <c r="T58" s="2">
        <v>7.3999999999999996E-2</v>
      </c>
      <c r="U58" s="2">
        <v>2.4</v>
      </c>
      <c r="V58" s="2">
        <v>2.8</v>
      </c>
      <c r="W58" s="2">
        <v>24</v>
      </c>
      <c r="X58" s="2">
        <v>3.1</v>
      </c>
      <c r="Y58" s="2">
        <v>0.26</v>
      </c>
      <c r="Z58" s="2">
        <v>9.5000000000000001E-2</v>
      </c>
      <c r="AA58" s="2">
        <v>7.7</v>
      </c>
      <c r="AB58" s="2">
        <v>7.3999999999999996E-2</v>
      </c>
      <c r="AC58" s="2">
        <v>0.25</v>
      </c>
    </row>
    <row r="59" spans="1:29" x14ac:dyDescent="0.25">
      <c r="A59" t="s">
        <v>165</v>
      </c>
      <c r="C59">
        <v>1</v>
      </c>
      <c r="D59" t="s">
        <v>159</v>
      </c>
      <c r="E59" t="s">
        <v>152</v>
      </c>
      <c r="F59" s="9">
        <v>45809</v>
      </c>
      <c r="G59" t="s">
        <v>3</v>
      </c>
      <c r="H59">
        <v>0.29799999999999999</v>
      </c>
    </row>
    <row r="60" spans="1:29" x14ac:dyDescent="0.25">
      <c r="A60" t="s">
        <v>165</v>
      </c>
      <c r="C60">
        <v>2</v>
      </c>
      <c r="D60" t="s">
        <v>159</v>
      </c>
      <c r="E60" t="s">
        <v>152</v>
      </c>
      <c r="F60" s="9">
        <v>45809</v>
      </c>
      <c r="G60" t="s">
        <v>3</v>
      </c>
      <c r="H60">
        <v>1.85</v>
      </c>
      <c r="I60">
        <f>SUM(H59:H60)</f>
        <v>2.1480000000000001</v>
      </c>
      <c r="J60" t="s">
        <v>168</v>
      </c>
      <c r="K60">
        <v>43</v>
      </c>
      <c r="L60">
        <v>43</v>
      </c>
      <c r="M60" t="s">
        <v>3</v>
      </c>
      <c r="N60" s="8">
        <v>45.9</v>
      </c>
      <c r="O60" s="7">
        <v>2.5680000000000001</v>
      </c>
      <c r="P60" s="7">
        <v>6.51</v>
      </c>
      <c r="Q60" s="2">
        <v>20</v>
      </c>
      <c r="R60" s="2">
        <v>3.6999999999999998E-2</v>
      </c>
      <c r="S60" s="2">
        <v>2.2000000000000002</v>
      </c>
      <c r="T60" s="4">
        <v>0.03</v>
      </c>
      <c r="U60" s="2">
        <v>1.9</v>
      </c>
      <c r="V60" s="2">
        <v>1.6</v>
      </c>
      <c r="W60" s="2">
        <v>26</v>
      </c>
      <c r="X60" s="2">
        <v>2.4</v>
      </c>
      <c r="Y60" s="4">
        <v>7.0000000000000007E-2</v>
      </c>
      <c r="Z60" s="2">
        <v>0.05</v>
      </c>
      <c r="AA60" s="2">
        <v>10</v>
      </c>
      <c r="AB60" s="2">
        <v>4.1000000000000002E-2</v>
      </c>
      <c r="AC60" s="2">
        <v>0.56000000000000005</v>
      </c>
    </row>
    <row r="61" spans="1:29" x14ac:dyDescent="0.25">
      <c r="A61" t="s">
        <v>166</v>
      </c>
      <c r="C61">
        <v>1</v>
      </c>
      <c r="D61" t="s">
        <v>159</v>
      </c>
      <c r="E61" t="s">
        <v>160</v>
      </c>
      <c r="F61" s="9">
        <v>45809</v>
      </c>
      <c r="G61" t="s">
        <v>3</v>
      </c>
      <c r="H61">
        <v>0.1124</v>
      </c>
      <c r="K61">
        <v>44</v>
      </c>
      <c r="L61">
        <v>44</v>
      </c>
      <c r="M61" t="s">
        <v>3</v>
      </c>
      <c r="N61" s="8">
        <v>46.3</v>
      </c>
      <c r="O61" s="7">
        <v>2.9870000000000001</v>
      </c>
      <c r="P61" s="7">
        <v>5.77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5">
      <c r="A62" t="s">
        <v>166</v>
      </c>
      <c r="C62">
        <v>1</v>
      </c>
      <c r="D62" t="s">
        <v>159</v>
      </c>
      <c r="E62" t="s">
        <v>152</v>
      </c>
      <c r="F62" s="9">
        <v>45809</v>
      </c>
      <c r="G62" t="s">
        <v>3</v>
      </c>
      <c r="H62">
        <v>0.24660000000000001</v>
      </c>
    </row>
    <row r="63" spans="1:29" x14ac:dyDescent="0.25">
      <c r="A63" t="s">
        <v>166</v>
      </c>
      <c r="C63">
        <v>2</v>
      </c>
      <c r="D63" t="s">
        <v>159</v>
      </c>
      <c r="E63" t="s">
        <v>152</v>
      </c>
      <c r="F63" s="9">
        <v>45809</v>
      </c>
      <c r="G63" t="s">
        <v>3</v>
      </c>
      <c r="H63">
        <v>0.50560000000000005</v>
      </c>
    </row>
    <row r="64" spans="1:29" x14ac:dyDescent="0.25">
      <c r="A64" t="s">
        <v>166</v>
      </c>
      <c r="C64">
        <v>3</v>
      </c>
      <c r="D64" t="s">
        <v>159</v>
      </c>
      <c r="E64" t="s">
        <v>152</v>
      </c>
      <c r="F64" s="9">
        <v>45809</v>
      </c>
      <c r="G64" t="s">
        <v>3</v>
      </c>
      <c r="H64">
        <v>0.54049999999999998</v>
      </c>
      <c r="I64">
        <f>SUM(H62:H64)</f>
        <v>1.2927</v>
      </c>
      <c r="J64" t="s">
        <v>167</v>
      </c>
      <c r="K64">
        <v>45</v>
      </c>
      <c r="L64">
        <v>45</v>
      </c>
      <c r="M64" t="s">
        <v>3</v>
      </c>
      <c r="N64" s="8">
        <v>45.7</v>
      </c>
      <c r="O64" s="7">
        <v>2.903</v>
      </c>
      <c r="P64" s="7">
        <v>6.18</v>
      </c>
      <c r="Q64" s="2">
        <v>19</v>
      </c>
      <c r="R64" s="4">
        <v>0.02</v>
      </c>
      <c r="S64" s="2">
        <v>2.1</v>
      </c>
      <c r="T64" s="2">
        <v>3.5000000000000003E-2</v>
      </c>
      <c r="U64" s="2">
        <v>2.6</v>
      </c>
      <c r="V64" s="2">
        <v>1.7</v>
      </c>
      <c r="W64" s="2">
        <v>31</v>
      </c>
      <c r="X64" s="2">
        <v>3.3</v>
      </c>
      <c r="Y64" s="2">
        <v>0.15</v>
      </c>
      <c r="Z64" s="2">
        <v>5.7000000000000002E-2</v>
      </c>
      <c r="AA64" s="2">
        <v>9.3000000000000007</v>
      </c>
      <c r="AB64" s="2">
        <v>3.2000000000000001E-2</v>
      </c>
      <c r="AC64" s="2">
        <v>0.36</v>
      </c>
    </row>
    <row r="65" spans="1:29" x14ac:dyDescent="0.25">
      <c r="A65" t="s">
        <v>149</v>
      </c>
      <c r="B65" t="s">
        <v>150</v>
      </c>
      <c r="C65">
        <v>2</v>
      </c>
      <c r="D65" t="s">
        <v>151</v>
      </c>
      <c r="E65" t="s">
        <v>152</v>
      </c>
      <c r="F65" s="9">
        <v>45809</v>
      </c>
      <c r="G65" t="s">
        <v>4</v>
      </c>
      <c r="H65">
        <v>13.92</v>
      </c>
      <c r="K65">
        <v>46</v>
      </c>
      <c r="L65">
        <v>46</v>
      </c>
      <c r="M65" t="s">
        <v>4</v>
      </c>
      <c r="N65" s="8">
        <v>50</v>
      </c>
      <c r="O65" s="7">
        <v>1.405</v>
      </c>
      <c r="P65" s="7">
        <v>6.44</v>
      </c>
      <c r="Q65" s="2">
        <v>10</v>
      </c>
      <c r="R65" s="2">
        <v>2.5999999999999999E-2</v>
      </c>
      <c r="S65" s="2">
        <v>1.2</v>
      </c>
      <c r="T65" s="2">
        <v>0.12</v>
      </c>
      <c r="U65" s="2">
        <v>1.6</v>
      </c>
      <c r="V65" s="2">
        <v>1.4</v>
      </c>
      <c r="W65" s="2">
        <v>5.5</v>
      </c>
      <c r="X65" s="5">
        <v>5</v>
      </c>
      <c r="Y65" s="2">
        <v>0.77</v>
      </c>
      <c r="Z65" s="4">
        <v>0.03</v>
      </c>
      <c r="AA65" s="2">
        <v>5.5</v>
      </c>
      <c r="AB65" s="2">
        <v>4.3999999999999997E-2</v>
      </c>
      <c r="AC65" s="3">
        <v>0.2</v>
      </c>
    </row>
    <row r="66" spans="1:29" x14ac:dyDescent="0.25">
      <c r="A66" t="s">
        <v>154</v>
      </c>
      <c r="B66" t="s">
        <v>155</v>
      </c>
      <c r="C66">
        <v>3</v>
      </c>
      <c r="D66" t="s">
        <v>151</v>
      </c>
      <c r="E66" t="s">
        <v>152</v>
      </c>
      <c r="F66" s="9">
        <v>45809</v>
      </c>
      <c r="G66" t="s">
        <v>4</v>
      </c>
      <c r="H66">
        <v>22.852</v>
      </c>
      <c r="J66" t="s">
        <v>163</v>
      </c>
      <c r="K66">
        <v>47</v>
      </c>
      <c r="L66">
        <v>47</v>
      </c>
      <c r="M66" t="s">
        <v>4</v>
      </c>
      <c r="N66" s="8">
        <v>50.3</v>
      </c>
      <c r="O66" s="7">
        <v>1.0049999999999999</v>
      </c>
      <c r="P66" s="7">
        <v>6.43</v>
      </c>
      <c r="Q66" s="2">
        <v>10</v>
      </c>
      <c r="R66" s="2">
        <v>6.7000000000000004E-2</v>
      </c>
      <c r="S66" s="2">
        <v>1.2</v>
      </c>
      <c r="T66" s="2">
        <v>0.13</v>
      </c>
      <c r="U66" s="5">
        <v>1</v>
      </c>
      <c r="V66" s="2">
        <v>0.88</v>
      </c>
      <c r="W66" s="2">
        <v>3.9</v>
      </c>
      <c r="X66" s="2">
        <v>5.2</v>
      </c>
      <c r="Y66" s="5">
        <v>2</v>
      </c>
      <c r="Z66" s="2">
        <v>2.5000000000000001E-2</v>
      </c>
      <c r="AA66" s="2">
        <v>5.4</v>
      </c>
      <c r="AB66" s="2">
        <v>3.1E-2</v>
      </c>
      <c r="AC66" s="2">
        <v>4.4999999999999998E-2</v>
      </c>
    </row>
    <row r="67" spans="1:29" x14ac:dyDescent="0.25">
      <c r="A67" t="s">
        <v>156</v>
      </c>
      <c r="B67" t="s">
        <v>157</v>
      </c>
      <c r="C67">
        <v>3</v>
      </c>
      <c r="D67" t="s">
        <v>151</v>
      </c>
      <c r="E67" t="s">
        <v>152</v>
      </c>
      <c r="F67" s="9">
        <v>45809</v>
      </c>
      <c r="G67" t="s">
        <v>4</v>
      </c>
      <c r="H67">
        <v>1.1888000000000001</v>
      </c>
      <c r="K67">
        <v>48</v>
      </c>
      <c r="L67">
        <v>48</v>
      </c>
      <c r="M67" t="s">
        <v>4</v>
      </c>
      <c r="N67" s="8">
        <v>49.6</v>
      </c>
      <c r="O67" s="7">
        <v>1.4630000000000001</v>
      </c>
      <c r="P67" s="7">
        <v>6.52</v>
      </c>
      <c r="Q67" s="2">
        <v>9.5</v>
      </c>
      <c r="R67" s="2">
        <v>4.1000000000000002E-2</v>
      </c>
      <c r="S67" s="2">
        <v>1.5</v>
      </c>
      <c r="T67" s="2">
        <v>0.13</v>
      </c>
      <c r="U67" s="2">
        <v>1.6</v>
      </c>
      <c r="V67" s="2">
        <v>1.2</v>
      </c>
      <c r="W67" s="2">
        <v>5.0999999999999996</v>
      </c>
      <c r="X67" s="2">
        <v>6.4</v>
      </c>
      <c r="Y67" s="2">
        <v>1.9</v>
      </c>
      <c r="Z67" s="4">
        <v>0.03</v>
      </c>
      <c r="AA67" s="2">
        <v>5.7</v>
      </c>
      <c r="AB67" s="2">
        <v>4.3999999999999997E-2</v>
      </c>
      <c r="AC67" s="2">
        <v>4.5999999999999999E-2</v>
      </c>
    </row>
    <row r="68" spans="1:29" x14ac:dyDescent="0.25">
      <c r="A68" t="s">
        <v>158</v>
      </c>
      <c r="C68">
        <v>3</v>
      </c>
      <c r="D68" t="s">
        <v>159</v>
      </c>
      <c r="E68" t="s">
        <v>160</v>
      </c>
      <c r="F68" s="9">
        <v>45809</v>
      </c>
      <c r="G68" t="s">
        <v>4</v>
      </c>
      <c r="H68">
        <v>44.92</v>
      </c>
      <c r="K68">
        <v>49</v>
      </c>
      <c r="L68">
        <v>49</v>
      </c>
      <c r="M68" t="s">
        <v>4</v>
      </c>
      <c r="N68" s="8">
        <v>51.7</v>
      </c>
      <c r="O68" s="7">
        <v>1.516</v>
      </c>
      <c r="P68" s="7">
        <v>6.71</v>
      </c>
      <c r="Q68" s="2">
        <v>13</v>
      </c>
      <c r="R68" s="4">
        <v>0.05</v>
      </c>
      <c r="S68" s="2">
        <v>1.3</v>
      </c>
      <c r="T68" s="2">
        <v>7.9000000000000001E-2</v>
      </c>
      <c r="U68" s="2">
        <v>0.97</v>
      </c>
      <c r="V68" s="5">
        <v>1</v>
      </c>
      <c r="W68" s="2">
        <v>5.3</v>
      </c>
      <c r="X68" s="2">
        <v>4.7</v>
      </c>
      <c r="Y68" s="2">
        <v>0.45</v>
      </c>
      <c r="Z68" s="4">
        <v>0.03</v>
      </c>
      <c r="AA68" s="2">
        <v>7.1</v>
      </c>
      <c r="AB68" s="2">
        <v>4.1000000000000002E-2</v>
      </c>
      <c r="AC68" s="2">
        <v>9.6000000000000002E-2</v>
      </c>
    </row>
    <row r="69" spans="1:29" x14ac:dyDescent="0.25">
      <c r="A69" t="s">
        <v>158</v>
      </c>
      <c r="C69">
        <v>2</v>
      </c>
      <c r="D69" t="s">
        <v>159</v>
      </c>
      <c r="E69" t="s">
        <v>152</v>
      </c>
      <c r="F69" s="9">
        <v>45809</v>
      </c>
      <c r="G69" t="s">
        <v>4</v>
      </c>
      <c r="H69">
        <v>11.79</v>
      </c>
      <c r="K69">
        <v>50</v>
      </c>
      <c r="L69">
        <v>50</v>
      </c>
      <c r="M69" t="s">
        <v>4</v>
      </c>
      <c r="N69" s="8">
        <v>52.3</v>
      </c>
      <c r="O69" s="7">
        <v>1.204</v>
      </c>
      <c r="P69" s="7">
        <v>6.75</v>
      </c>
      <c r="Q69" s="2">
        <v>12</v>
      </c>
      <c r="R69" s="2">
        <v>8.3000000000000004E-2</v>
      </c>
      <c r="S69" s="2">
        <v>0.96</v>
      </c>
      <c r="T69" s="2">
        <v>6.7000000000000004E-2</v>
      </c>
      <c r="U69" s="2">
        <v>0.69</v>
      </c>
      <c r="V69" s="2">
        <v>1.1000000000000001</v>
      </c>
      <c r="W69" s="2">
        <v>3.8</v>
      </c>
      <c r="X69" s="2">
        <v>3.6</v>
      </c>
      <c r="Y69" s="2">
        <v>0.46</v>
      </c>
      <c r="Z69" s="2">
        <v>5.8000000000000003E-2</v>
      </c>
      <c r="AA69" s="2">
        <v>6.2</v>
      </c>
      <c r="AB69" s="2">
        <v>3.5000000000000003E-2</v>
      </c>
      <c r="AC69" s="2">
        <v>0.49</v>
      </c>
    </row>
    <row r="70" spans="1:29" x14ac:dyDescent="0.25">
      <c r="A70" t="s">
        <v>161</v>
      </c>
      <c r="C70">
        <v>1</v>
      </c>
      <c r="D70" t="s">
        <v>159</v>
      </c>
      <c r="E70" t="s">
        <v>160</v>
      </c>
      <c r="F70" s="9">
        <v>45809</v>
      </c>
      <c r="G70" t="s">
        <v>4</v>
      </c>
      <c r="H70">
        <v>7.3129</v>
      </c>
      <c r="K70">
        <v>51</v>
      </c>
      <c r="L70">
        <v>51</v>
      </c>
      <c r="M70" t="s">
        <v>4</v>
      </c>
      <c r="N70" s="8">
        <v>51.9</v>
      </c>
      <c r="O70" s="7">
        <v>1.2629999999999999</v>
      </c>
      <c r="P70" s="7">
        <v>6.87</v>
      </c>
      <c r="Q70" s="2">
        <v>13</v>
      </c>
      <c r="R70" s="2">
        <v>4.4999999999999998E-2</v>
      </c>
      <c r="S70" s="2">
        <v>1.1000000000000001</v>
      </c>
      <c r="T70" s="2">
        <v>7.3999999999999996E-2</v>
      </c>
      <c r="U70" s="2">
        <v>0.79</v>
      </c>
      <c r="V70" s="2">
        <v>0.99</v>
      </c>
      <c r="W70" s="2">
        <v>3.9</v>
      </c>
      <c r="X70" s="2">
        <v>4.8</v>
      </c>
      <c r="Y70" s="2">
        <v>0.68</v>
      </c>
      <c r="Z70" s="2">
        <v>3.3000000000000002E-2</v>
      </c>
      <c r="AA70" s="2">
        <v>5.6</v>
      </c>
      <c r="AB70" s="2">
        <v>2.9000000000000001E-2</v>
      </c>
      <c r="AC70" s="2">
        <v>0.26</v>
      </c>
    </row>
    <row r="71" spans="1:29" x14ac:dyDescent="0.25">
      <c r="A71" t="s">
        <v>161</v>
      </c>
      <c r="C71">
        <v>1</v>
      </c>
      <c r="D71" t="s">
        <v>159</v>
      </c>
      <c r="E71" t="s">
        <v>152</v>
      </c>
      <c r="F71" s="9">
        <v>45809</v>
      </c>
      <c r="G71" t="s">
        <v>4</v>
      </c>
      <c r="H71">
        <v>1.2262999999999999</v>
      </c>
      <c r="K71">
        <v>52</v>
      </c>
      <c r="L71">
        <v>52</v>
      </c>
      <c r="M71" t="s">
        <v>4</v>
      </c>
      <c r="N71" s="8">
        <v>53.1</v>
      </c>
      <c r="O71" s="7">
        <v>1.1259999999999999</v>
      </c>
      <c r="P71" s="7">
        <v>6.85</v>
      </c>
      <c r="Q71" s="2">
        <v>8.1999999999999993</v>
      </c>
      <c r="R71" s="2">
        <v>4.3999999999999997E-2</v>
      </c>
      <c r="S71" s="5">
        <v>1</v>
      </c>
      <c r="T71" s="2">
        <v>6.4000000000000001E-2</v>
      </c>
      <c r="U71" s="2">
        <v>0.81</v>
      </c>
      <c r="V71" s="2">
        <v>0.99</v>
      </c>
      <c r="W71" s="2">
        <v>4.5</v>
      </c>
      <c r="X71" s="2">
        <v>3.3</v>
      </c>
      <c r="Y71" s="2">
        <v>1.2</v>
      </c>
      <c r="Z71" s="4">
        <v>0.02</v>
      </c>
      <c r="AA71" s="2">
        <v>5.5</v>
      </c>
      <c r="AB71" s="2">
        <v>2.3E-2</v>
      </c>
      <c r="AC71" s="3">
        <v>0.1</v>
      </c>
    </row>
    <row r="72" spans="1:29" x14ac:dyDescent="0.25">
      <c r="A72" t="s">
        <v>162</v>
      </c>
      <c r="C72">
        <v>1</v>
      </c>
      <c r="D72" t="s">
        <v>159</v>
      </c>
      <c r="E72" t="s">
        <v>160</v>
      </c>
      <c r="F72" s="9">
        <v>45809</v>
      </c>
      <c r="G72" t="s">
        <v>4</v>
      </c>
      <c r="H72">
        <v>28.169999999999998</v>
      </c>
      <c r="K72">
        <v>53</v>
      </c>
      <c r="L72">
        <v>53</v>
      </c>
      <c r="M72" t="s">
        <v>4</v>
      </c>
      <c r="N72" s="8">
        <v>49.5</v>
      </c>
      <c r="O72" s="7">
        <v>1.387</v>
      </c>
      <c r="P72" s="7">
        <v>6.4</v>
      </c>
      <c r="Q72" s="2">
        <v>11</v>
      </c>
      <c r="R72" s="2">
        <v>2.5000000000000001E-2</v>
      </c>
      <c r="S72" s="2">
        <v>1.6</v>
      </c>
      <c r="T72" s="2">
        <v>0.17</v>
      </c>
      <c r="U72" s="2">
        <v>1.8</v>
      </c>
      <c r="V72" s="2">
        <v>1.1000000000000001</v>
      </c>
      <c r="W72" s="2">
        <v>6.8</v>
      </c>
      <c r="X72" s="2">
        <v>4.0999999999999996</v>
      </c>
      <c r="Y72" s="2">
        <v>0.71</v>
      </c>
      <c r="Z72" s="2">
        <v>3.1E-2</v>
      </c>
      <c r="AA72" s="2">
        <v>4.9000000000000004</v>
      </c>
      <c r="AB72" s="4">
        <v>0.04</v>
      </c>
      <c r="AC72" s="2">
        <v>0.17</v>
      </c>
    </row>
    <row r="73" spans="1:29" x14ac:dyDescent="0.25">
      <c r="A73" t="s">
        <v>162</v>
      </c>
      <c r="C73">
        <v>1</v>
      </c>
      <c r="D73" t="s">
        <v>159</v>
      </c>
      <c r="E73" t="s">
        <v>152</v>
      </c>
      <c r="F73" s="9">
        <v>45809</v>
      </c>
      <c r="G73" t="s">
        <v>4</v>
      </c>
      <c r="H73">
        <v>9.1928000000000001</v>
      </c>
      <c r="K73">
        <v>54</v>
      </c>
    </row>
    <row r="74" spans="1:29" x14ac:dyDescent="0.25">
      <c r="A74" t="s">
        <v>162</v>
      </c>
      <c r="C74">
        <v>3</v>
      </c>
      <c r="D74" t="s">
        <v>159</v>
      </c>
      <c r="E74" t="s">
        <v>152</v>
      </c>
      <c r="F74" s="9">
        <v>45809</v>
      </c>
      <c r="G74" t="s">
        <v>4</v>
      </c>
      <c r="H74">
        <v>0.67589999999999995</v>
      </c>
      <c r="I74">
        <f>SUM(H73:H74)</f>
        <v>9.8687000000000005</v>
      </c>
      <c r="J74" t="s">
        <v>168</v>
      </c>
      <c r="K74">
        <v>54</v>
      </c>
      <c r="L74">
        <v>54</v>
      </c>
      <c r="M74" t="s">
        <v>4</v>
      </c>
      <c r="N74" s="8">
        <v>50.1</v>
      </c>
      <c r="O74" s="7">
        <v>1.3540000000000001</v>
      </c>
      <c r="P74" s="7">
        <v>6.45</v>
      </c>
      <c r="Q74" s="2">
        <v>9.1999999999999993</v>
      </c>
      <c r="R74" s="2">
        <v>6.8000000000000005E-2</v>
      </c>
      <c r="S74" s="5">
        <v>1</v>
      </c>
      <c r="T74" s="2">
        <v>0.13</v>
      </c>
      <c r="U74" s="2">
        <v>1.6</v>
      </c>
      <c r="V74" s="2">
        <v>0.98</v>
      </c>
      <c r="W74" s="2">
        <v>4.5</v>
      </c>
      <c r="X74" s="2">
        <v>5.0999999999999996</v>
      </c>
      <c r="Y74" s="2">
        <v>1.1000000000000001</v>
      </c>
      <c r="Z74" s="2">
        <v>3.5999999999999997E-2</v>
      </c>
      <c r="AA74" s="2">
        <v>6.3</v>
      </c>
      <c r="AB74" s="2">
        <v>7.2999999999999995E-2</v>
      </c>
      <c r="AC74" s="2">
        <v>9.0999999999999998E-2</v>
      </c>
    </row>
    <row r="75" spans="1:29" x14ac:dyDescent="0.25">
      <c r="A75" t="s">
        <v>164</v>
      </c>
      <c r="C75">
        <v>2</v>
      </c>
      <c r="D75" t="s">
        <v>159</v>
      </c>
      <c r="E75" t="s">
        <v>160</v>
      </c>
      <c r="F75" s="9">
        <v>45809</v>
      </c>
      <c r="G75" t="s">
        <v>4</v>
      </c>
      <c r="H75">
        <v>34.89</v>
      </c>
      <c r="K75">
        <v>55</v>
      </c>
      <c r="L75">
        <v>55</v>
      </c>
      <c r="M75" t="s">
        <v>4</v>
      </c>
      <c r="N75" s="8">
        <v>50.8</v>
      </c>
      <c r="O75" s="7">
        <v>1.405</v>
      </c>
      <c r="P75" s="7">
        <v>6.44</v>
      </c>
      <c r="Q75" s="2">
        <v>9.8000000000000007</v>
      </c>
      <c r="R75" s="2">
        <v>4.2999999999999997E-2</v>
      </c>
      <c r="S75" s="2">
        <v>0.85</v>
      </c>
      <c r="T75" s="2">
        <v>0.22</v>
      </c>
      <c r="U75" s="2">
        <v>0.88</v>
      </c>
      <c r="V75" s="5">
        <v>1</v>
      </c>
      <c r="W75" s="2">
        <v>4.5999999999999996</v>
      </c>
      <c r="X75" s="2">
        <v>4.5</v>
      </c>
      <c r="Y75" s="3">
        <v>0.5</v>
      </c>
      <c r="Z75" s="4">
        <v>0.08</v>
      </c>
      <c r="AA75" s="2">
        <v>7.8</v>
      </c>
      <c r="AB75" s="4">
        <v>0.05</v>
      </c>
      <c r="AC75" s="3">
        <v>0.1</v>
      </c>
    </row>
    <row r="76" spans="1:29" x14ac:dyDescent="0.25">
      <c r="A76" t="s">
        <v>164</v>
      </c>
      <c r="C76">
        <v>2</v>
      </c>
      <c r="D76" t="s">
        <v>159</v>
      </c>
      <c r="E76" t="s">
        <v>152</v>
      </c>
      <c r="F76" s="9">
        <v>45809</v>
      </c>
      <c r="G76" t="s">
        <v>4</v>
      </c>
      <c r="H76">
        <v>0.54859999999999998</v>
      </c>
      <c r="K76">
        <v>56</v>
      </c>
    </row>
    <row r="77" spans="1:29" x14ac:dyDescent="0.25">
      <c r="A77" t="s">
        <v>164</v>
      </c>
      <c r="C77">
        <v>1</v>
      </c>
      <c r="D77" t="s">
        <v>159</v>
      </c>
      <c r="E77" t="s">
        <v>152</v>
      </c>
      <c r="F77" s="9">
        <v>45809</v>
      </c>
      <c r="G77" t="s">
        <v>4</v>
      </c>
      <c r="H77">
        <v>8.6066000000000003</v>
      </c>
      <c r="K77">
        <v>56</v>
      </c>
    </row>
    <row r="78" spans="1:29" x14ac:dyDescent="0.25">
      <c r="A78" t="s">
        <v>164</v>
      </c>
      <c r="C78">
        <v>3</v>
      </c>
      <c r="D78" t="s">
        <v>159</v>
      </c>
      <c r="E78" t="s">
        <v>152</v>
      </c>
      <c r="F78" s="9">
        <v>45809</v>
      </c>
      <c r="G78" t="s">
        <v>4</v>
      </c>
      <c r="H78">
        <v>27.713999999999999</v>
      </c>
      <c r="I78">
        <f>SUM(H76:H78)</f>
        <v>36.869199999999999</v>
      </c>
      <c r="J78" t="s">
        <v>167</v>
      </c>
      <c r="K78">
        <v>56</v>
      </c>
      <c r="L78">
        <v>56</v>
      </c>
      <c r="M78" t="s">
        <v>4</v>
      </c>
      <c r="N78" s="8">
        <v>50</v>
      </c>
      <c r="O78" s="7">
        <v>1.1599999999999999</v>
      </c>
      <c r="P78" s="7">
        <v>6.43</v>
      </c>
      <c r="Q78" s="2">
        <v>8.6</v>
      </c>
      <c r="R78" s="2">
        <v>5.3999999999999999E-2</v>
      </c>
      <c r="S78" s="2">
        <v>0.88</v>
      </c>
      <c r="T78" s="2">
        <v>0.14000000000000001</v>
      </c>
      <c r="U78" s="5">
        <v>1</v>
      </c>
      <c r="V78" s="2">
        <v>0.95</v>
      </c>
      <c r="W78" s="2">
        <v>5.2</v>
      </c>
      <c r="X78" s="2">
        <v>3.4</v>
      </c>
      <c r="Y78" s="2">
        <v>0.42</v>
      </c>
      <c r="Z78" s="2">
        <v>2.3E-2</v>
      </c>
      <c r="AA78" s="2">
        <v>7.1</v>
      </c>
      <c r="AB78" s="2">
        <v>7.1999999999999995E-2</v>
      </c>
      <c r="AC78" s="2">
        <v>7.4999999999999997E-2</v>
      </c>
    </row>
    <row r="79" spans="1:29" x14ac:dyDescent="0.25">
      <c r="A79" t="s">
        <v>165</v>
      </c>
      <c r="C79">
        <v>1</v>
      </c>
      <c r="D79" t="s">
        <v>159</v>
      </c>
      <c r="E79" t="s">
        <v>160</v>
      </c>
      <c r="F79" s="9">
        <v>45809</v>
      </c>
      <c r="G79" t="s">
        <v>4</v>
      </c>
      <c r="H79">
        <v>4.6944999999999997</v>
      </c>
      <c r="K79">
        <v>57</v>
      </c>
      <c r="L79">
        <v>57</v>
      </c>
      <c r="M79" t="s">
        <v>4</v>
      </c>
      <c r="N79" s="8">
        <v>54</v>
      </c>
      <c r="O79" s="7">
        <v>1.8660000000000001</v>
      </c>
      <c r="P79" s="7">
        <v>6.92</v>
      </c>
      <c r="Q79" s="2">
        <v>12</v>
      </c>
      <c r="R79" s="2">
        <v>6.7000000000000004E-2</v>
      </c>
      <c r="S79" s="2">
        <v>1.3</v>
      </c>
      <c r="T79" s="2">
        <v>0.31</v>
      </c>
      <c r="U79" s="2">
        <v>1.5</v>
      </c>
      <c r="V79" s="2">
        <v>1.2</v>
      </c>
      <c r="W79" s="2">
        <v>5.4</v>
      </c>
      <c r="X79" s="2">
        <v>6.6</v>
      </c>
      <c r="Y79" s="2">
        <v>2.2999999999999998</v>
      </c>
      <c r="Z79" s="2">
        <v>3.5999999999999997E-2</v>
      </c>
      <c r="AA79" s="2">
        <v>7.5</v>
      </c>
      <c r="AB79" s="4">
        <v>0.06</v>
      </c>
      <c r="AC79" s="2">
        <v>8.3000000000000004E-2</v>
      </c>
    </row>
    <row r="80" spans="1:29" x14ac:dyDescent="0.25">
      <c r="A80" t="s">
        <v>165</v>
      </c>
      <c r="C80">
        <v>1</v>
      </c>
      <c r="D80" t="s">
        <v>159</v>
      </c>
      <c r="E80" t="s">
        <v>152</v>
      </c>
      <c r="F80" s="9">
        <v>45809</v>
      </c>
      <c r="G80" t="s">
        <v>4</v>
      </c>
      <c r="H80">
        <v>3.1859999999999999</v>
      </c>
      <c r="K80">
        <v>58</v>
      </c>
    </row>
    <row r="81" spans="1:29" x14ac:dyDescent="0.25">
      <c r="A81" t="s">
        <v>165</v>
      </c>
      <c r="C81">
        <v>2</v>
      </c>
      <c r="D81" t="s">
        <v>159</v>
      </c>
      <c r="E81" t="s">
        <v>152</v>
      </c>
      <c r="F81" s="9">
        <v>45809</v>
      </c>
      <c r="G81" t="s">
        <v>4</v>
      </c>
      <c r="H81">
        <v>0.54449999999999998</v>
      </c>
      <c r="I81">
        <f>SUM(H80:H81)</f>
        <v>3.7305000000000001</v>
      </c>
      <c r="J81" t="s">
        <v>168</v>
      </c>
      <c r="K81">
        <v>58</v>
      </c>
      <c r="L81">
        <v>58</v>
      </c>
      <c r="M81" t="s">
        <v>4</v>
      </c>
      <c r="N81" s="8">
        <v>49.9</v>
      </c>
      <c r="O81" s="7">
        <v>1.806</v>
      </c>
      <c r="P81" s="7">
        <v>6.44</v>
      </c>
      <c r="Q81" s="2">
        <v>18</v>
      </c>
      <c r="R81" s="2">
        <v>5.2999999999999999E-2</v>
      </c>
      <c r="S81" s="2">
        <v>1.6</v>
      </c>
      <c r="T81" s="2">
        <v>0.19</v>
      </c>
      <c r="U81" s="2">
        <v>1.7</v>
      </c>
      <c r="V81" s="2">
        <v>1.3</v>
      </c>
      <c r="W81" s="2">
        <v>5.6</v>
      </c>
      <c r="X81" s="2">
        <v>5.9</v>
      </c>
      <c r="Y81" s="2">
        <v>0.99</v>
      </c>
      <c r="Z81" s="2">
        <v>3.3000000000000002E-2</v>
      </c>
      <c r="AA81" s="2">
        <v>7.5</v>
      </c>
      <c r="AB81" s="2">
        <v>5.2999999999999999E-2</v>
      </c>
      <c r="AC81" s="2">
        <v>0.14000000000000001</v>
      </c>
    </row>
    <row r="82" spans="1:29" x14ac:dyDescent="0.25">
      <c r="A82" t="s">
        <v>166</v>
      </c>
      <c r="C82">
        <v>1</v>
      </c>
      <c r="D82" t="s">
        <v>159</v>
      </c>
      <c r="E82" t="s">
        <v>160</v>
      </c>
      <c r="F82" s="9">
        <v>45809</v>
      </c>
      <c r="G82" t="s">
        <v>4</v>
      </c>
      <c r="H82">
        <v>22.45</v>
      </c>
      <c r="K82">
        <v>59</v>
      </c>
      <c r="L82">
        <v>59</v>
      </c>
      <c r="M82" t="s">
        <v>4</v>
      </c>
      <c r="N82" s="8">
        <v>50.7</v>
      </c>
      <c r="O82" s="7">
        <v>1.8420000000000001</v>
      </c>
      <c r="P82" s="7">
        <v>6.53</v>
      </c>
      <c r="Q82" s="2">
        <v>14</v>
      </c>
      <c r="R82" s="3">
        <v>0.1</v>
      </c>
      <c r="S82" s="5">
        <v>1</v>
      </c>
      <c r="T82" s="2">
        <v>0.15</v>
      </c>
      <c r="U82" s="2">
        <v>1.5</v>
      </c>
      <c r="V82" s="2">
        <v>1.3</v>
      </c>
      <c r="W82" s="2">
        <v>6.6</v>
      </c>
      <c r="X82" s="2">
        <v>4.3</v>
      </c>
      <c r="Y82" s="2">
        <v>1.2</v>
      </c>
      <c r="Z82" s="2">
        <v>3.6999999999999998E-2</v>
      </c>
      <c r="AA82" s="5">
        <v>8</v>
      </c>
      <c r="AB82" s="2">
        <v>7.4999999999999997E-2</v>
      </c>
      <c r="AC82" s="2">
        <v>0.28000000000000003</v>
      </c>
    </row>
    <row r="83" spans="1:29" x14ac:dyDescent="0.25">
      <c r="A83" t="s">
        <v>166</v>
      </c>
      <c r="C83">
        <v>1</v>
      </c>
      <c r="D83" t="s">
        <v>159</v>
      </c>
      <c r="E83" t="s">
        <v>152</v>
      </c>
      <c r="F83" s="9">
        <v>45809</v>
      </c>
      <c r="G83" t="s">
        <v>4</v>
      </c>
      <c r="H83">
        <v>4.5505000000000004</v>
      </c>
      <c r="K83">
        <v>60</v>
      </c>
      <c r="L83">
        <v>60</v>
      </c>
      <c r="M83" t="s">
        <v>4</v>
      </c>
      <c r="N83" s="8">
        <v>50.3</v>
      </c>
      <c r="O83" s="7">
        <v>1.512</v>
      </c>
      <c r="P83" s="7">
        <v>6.48</v>
      </c>
      <c r="Q83" s="2">
        <v>13</v>
      </c>
      <c r="R83" s="2">
        <v>3.2000000000000001E-2</v>
      </c>
      <c r="S83" s="2">
        <v>1.2</v>
      </c>
      <c r="T83" s="2">
        <v>0.14000000000000001</v>
      </c>
      <c r="U83" s="2">
        <v>1.5</v>
      </c>
      <c r="V83" s="2">
        <v>1.2</v>
      </c>
      <c r="W83" s="2">
        <v>5.0999999999999996</v>
      </c>
      <c r="X83" s="2">
        <v>4.5999999999999996</v>
      </c>
      <c r="Y83" s="3">
        <v>0.9</v>
      </c>
      <c r="Z83" s="4">
        <v>0.03</v>
      </c>
      <c r="AA83" s="2">
        <v>8.1</v>
      </c>
      <c r="AB83" s="2">
        <v>5.7000000000000002E-2</v>
      </c>
      <c r="AC83" s="2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D0B97-0A51-4256-8AD3-BE5926555D2B}">
  <dimension ref="A1:H78"/>
  <sheetViews>
    <sheetView workbookViewId="0">
      <selection activeCell="I78" sqref="I78"/>
    </sheetView>
  </sheetViews>
  <sheetFormatPr defaultColWidth="11.42578125" defaultRowHeight="15" x14ac:dyDescent="0.25"/>
  <cols>
    <col min="1" max="1" width="16.7109375" customWidth="1"/>
    <col min="3" max="3" width="13.28515625" customWidth="1"/>
    <col min="4" max="4" width="19.85546875" customWidth="1"/>
  </cols>
  <sheetData>
    <row r="1" spans="1:8" x14ac:dyDescent="0.25">
      <c r="A1" t="s">
        <v>142</v>
      </c>
      <c r="B1" t="s">
        <v>169</v>
      </c>
      <c r="C1" t="s">
        <v>170</v>
      </c>
      <c r="D1" t="s">
        <v>171</v>
      </c>
      <c r="E1" s="8" t="s">
        <v>172</v>
      </c>
      <c r="F1" s="7" t="s">
        <v>173</v>
      </c>
      <c r="G1" s="10" t="s">
        <v>174</v>
      </c>
      <c r="H1" t="s">
        <v>175</v>
      </c>
    </row>
    <row r="2" spans="1:8" x14ac:dyDescent="0.25">
      <c r="A2" t="s">
        <v>176</v>
      </c>
      <c r="B2" t="s">
        <v>177</v>
      </c>
      <c r="C2" t="s">
        <v>178</v>
      </c>
      <c r="D2" s="11">
        <v>46056.450624999998</v>
      </c>
      <c r="E2" s="12">
        <v>-5.3999999999999999E-2</v>
      </c>
      <c r="F2" s="7">
        <v>1.03E-2</v>
      </c>
      <c r="G2" s="7">
        <v>-8.5999999999999993E-2</v>
      </c>
      <c r="H2">
        <v>210</v>
      </c>
    </row>
    <row r="3" spans="1:8" x14ac:dyDescent="0.25">
      <c r="A3" t="s">
        <v>176</v>
      </c>
      <c r="B3" t="s">
        <v>177</v>
      </c>
      <c r="C3" t="s">
        <v>178</v>
      </c>
      <c r="D3" s="11">
        <v>46056.453344907408</v>
      </c>
      <c r="E3" s="12">
        <v>-5.3999999999999999E-2</v>
      </c>
      <c r="F3" s="7">
        <v>9.4000000000000004E-3</v>
      </c>
      <c r="G3" s="7">
        <v>-8.6999999999999994E-2</v>
      </c>
      <c r="H3">
        <v>209</v>
      </c>
    </row>
    <row r="4" spans="1:8" x14ac:dyDescent="0.25">
      <c r="A4" t="s">
        <v>176</v>
      </c>
      <c r="B4" t="s">
        <v>177</v>
      </c>
      <c r="C4" t="s">
        <v>178</v>
      </c>
      <c r="D4" s="11">
        <v>46056.456087962964</v>
      </c>
      <c r="E4" s="12">
        <v>-5.2999999999999999E-2</v>
      </c>
      <c r="F4" s="7">
        <v>8.8000000000000005E-3</v>
      </c>
      <c r="G4" s="7">
        <v>-8.7999999999999995E-2</v>
      </c>
      <c r="H4">
        <v>211</v>
      </c>
    </row>
    <row r="5" spans="1:8" x14ac:dyDescent="0.25">
      <c r="A5" t="s">
        <v>176</v>
      </c>
      <c r="B5" t="s">
        <v>177</v>
      </c>
      <c r="C5" t="s">
        <v>178</v>
      </c>
      <c r="D5" s="11">
        <v>46056.458819444444</v>
      </c>
      <c r="E5" s="12">
        <v>-5.3999999999999999E-2</v>
      </c>
      <c r="F5" s="7">
        <v>7.7999999999999996E-3</v>
      </c>
      <c r="G5" s="7">
        <v>-8.8999999999999996E-2</v>
      </c>
      <c r="H5">
        <v>210</v>
      </c>
    </row>
    <row r="6" spans="1:8" x14ac:dyDescent="0.25">
      <c r="A6" t="s">
        <v>176</v>
      </c>
      <c r="B6" t="s">
        <v>177</v>
      </c>
      <c r="C6" t="s">
        <v>178</v>
      </c>
      <c r="D6" s="11">
        <v>46056.461539351854</v>
      </c>
      <c r="E6" s="12">
        <v>-5.3999999999999999E-2</v>
      </c>
      <c r="F6" s="7">
        <v>7.7000000000000002E-3</v>
      </c>
      <c r="G6" s="7">
        <v>-0.09</v>
      </c>
      <c r="H6">
        <v>209</v>
      </c>
    </row>
    <row r="7" spans="1:8" x14ac:dyDescent="0.25">
      <c r="A7" t="s">
        <v>179</v>
      </c>
      <c r="B7" t="s">
        <v>180</v>
      </c>
      <c r="C7" t="s">
        <v>178</v>
      </c>
      <c r="D7" s="11">
        <v>46056.464259259257</v>
      </c>
      <c r="E7" s="8">
        <v>45.3</v>
      </c>
      <c r="F7" s="7">
        <v>1.9930000000000001</v>
      </c>
      <c r="G7" s="7">
        <v>5.07</v>
      </c>
      <c r="H7">
        <v>210</v>
      </c>
    </row>
    <row r="8" spans="1:8" x14ac:dyDescent="0.25">
      <c r="A8" t="s">
        <v>179</v>
      </c>
      <c r="B8" t="s">
        <v>181</v>
      </c>
      <c r="C8" t="s">
        <v>178</v>
      </c>
      <c r="D8" s="11">
        <v>46056.466979166667</v>
      </c>
      <c r="E8" s="8">
        <v>45.2</v>
      </c>
      <c r="F8" s="7">
        <v>2.0209999999999999</v>
      </c>
      <c r="G8" s="7">
        <v>6.07</v>
      </c>
      <c r="H8">
        <v>209</v>
      </c>
    </row>
    <row r="9" spans="1:8" x14ac:dyDescent="0.25">
      <c r="A9" t="s">
        <v>182</v>
      </c>
      <c r="B9" t="s">
        <v>183</v>
      </c>
      <c r="C9" t="s">
        <v>178</v>
      </c>
      <c r="D9" s="11">
        <v>46056.469699074078</v>
      </c>
      <c r="E9" s="8">
        <v>48.7</v>
      </c>
      <c r="F9" s="7">
        <v>1.379</v>
      </c>
      <c r="G9" s="7">
        <v>6.22</v>
      </c>
      <c r="H9">
        <v>209</v>
      </c>
    </row>
    <row r="10" spans="1:8" x14ac:dyDescent="0.25">
      <c r="A10" t="s">
        <v>182</v>
      </c>
      <c r="B10" t="s">
        <v>184</v>
      </c>
      <c r="C10" t="s">
        <v>178</v>
      </c>
      <c r="D10" s="11">
        <v>46056.472418981481</v>
      </c>
      <c r="E10" s="8">
        <v>48.6</v>
      </c>
      <c r="F10" s="7">
        <v>1.359</v>
      </c>
      <c r="G10" s="7">
        <v>6.27</v>
      </c>
      <c r="H10">
        <v>209</v>
      </c>
    </row>
    <row r="11" spans="1:8" x14ac:dyDescent="0.25">
      <c r="A11" t="s">
        <v>182</v>
      </c>
      <c r="B11" t="s">
        <v>185</v>
      </c>
      <c r="C11" t="s">
        <v>178</v>
      </c>
      <c r="D11" s="11">
        <v>46056.475428240738</v>
      </c>
      <c r="E11" s="8">
        <v>48.6</v>
      </c>
      <c r="F11" s="7">
        <v>1.3620000000000001</v>
      </c>
      <c r="G11" s="7">
        <v>6.23</v>
      </c>
      <c r="H11">
        <v>209</v>
      </c>
    </row>
    <row r="12" spans="1:8" x14ac:dyDescent="0.25">
      <c r="A12" t="s">
        <v>140</v>
      </c>
      <c r="B12" t="s">
        <v>186</v>
      </c>
      <c r="C12" t="s">
        <v>178</v>
      </c>
      <c r="D12" s="11">
        <v>46056.488287037035</v>
      </c>
      <c r="E12" s="8">
        <v>45</v>
      </c>
      <c r="F12" s="7">
        <v>0.92530000000000001</v>
      </c>
      <c r="G12" s="7">
        <v>5.31</v>
      </c>
      <c r="H12">
        <v>209</v>
      </c>
    </row>
    <row r="13" spans="1:8" x14ac:dyDescent="0.25">
      <c r="A13" t="s">
        <v>139</v>
      </c>
      <c r="B13" t="s">
        <v>180</v>
      </c>
      <c r="C13" t="s">
        <v>178</v>
      </c>
      <c r="D13" s="11">
        <v>46056.491006944445</v>
      </c>
      <c r="E13" s="8">
        <v>48.1</v>
      </c>
      <c r="F13" s="7">
        <v>1.212</v>
      </c>
      <c r="G13" s="7">
        <v>6.16</v>
      </c>
      <c r="H13">
        <v>209</v>
      </c>
    </row>
    <row r="14" spans="1:8" x14ac:dyDescent="0.25">
      <c r="A14" t="s">
        <v>138</v>
      </c>
      <c r="B14" t="s">
        <v>187</v>
      </c>
      <c r="C14" t="s">
        <v>178</v>
      </c>
      <c r="D14" s="11">
        <v>46056.493726851855</v>
      </c>
      <c r="E14" s="8">
        <v>45.2</v>
      </c>
      <c r="F14" s="7">
        <v>1.351</v>
      </c>
      <c r="G14" s="7">
        <v>6.27</v>
      </c>
      <c r="H14">
        <v>210</v>
      </c>
    </row>
    <row r="15" spans="1:8" x14ac:dyDescent="0.25">
      <c r="A15" t="s">
        <v>137</v>
      </c>
      <c r="B15" t="s">
        <v>188</v>
      </c>
      <c r="C15" t="s">
        <v>178</v>
      </c>
      <c r="D15" s="11">
        <v>46056.496446759258</v>
      </c>
      <c r="E15" s="8">
        <v>46.6</v>
      </c>
      <c r="F15" s="7">
        <v>1.256</v>
      </c>
      <c r="G15" s="7">
        <v>6.32</v>
      </c>
      <c r="H15">
        <v>210</v>
      </c>
    </row>
    <row r="16" spans="1:8" x14ac:dyDescent="0.25">
      <c r="A16" t="s">
        <v>136</v>
      </c>
      <c r="B16" t="s">
        <v>189</v>
      </c>
      <c r="C16" t="s">
        <v>178</v>
      </c>
      <c r="D16" s="11">
        <v>46056.499166666668</v>
      </c>
      <c r="E16" s="8">
        <v>47.7</v>
      </c>
      <c r="F16" s="7">
        <v>1.004</v>
      </c>
      <c r="G16" s="7">
        <v>6.46</v>
      </c>
      <c r="H16">
        <v>209</v>
      </c>
    </row>
    <row r="17" spans="1:8" x14ac:dyDescent="0.25">
      <c r="A17" t="s">
        <v>182</v>
      </c>
      <c r="B17" t="s">
        <v>187</v>
      </c>
      <c r="C17" t="s">
        <v>178</v>
      </c>
      <c r="D17" s="11">
        <v>46056.563784722224</v>
      </c>
      <c r="E17" s="8">
        <v>48.5</v>
      </c>
      <c r="F17" s="7">
        <v>1.325</v>
      </c>
      <c r="G17" s="7">
        <v>4.7699999999999996</v>
      </c>
      <c r="H17">
        <v>210</v>
      </c>
    </row>
    <row r="18" spans="1:8" x14ac:dyDescent="0.25">
      <c r="A18" t="s">
        <v>135</v>
      </c>
      <c r="B18" t="s">
        <v>190</v>
      </c>
      <c r="C18" t="s">
        <v>178</v>
      </c>
      <c r="D18" s="11">
        <v>46056.566516203704</v>
      </c>
      <c r="E18" s="8">
        <v>46</v>
      </c>
      <c r="F18" s="7">
        <v>1.071</v>
      </c>
      <c r="G18" s="7">
        <v>5.79</v>
      </c>
      <c r="H18">
        <v>210</v>
      </c>
    </row>
    <row r="19" spans="1:8" x14ac:dyDescent="0.25">
      <c r="A19" t="s">
        <v>134</v>
      </c>
      <c r="B19" t="s">
        <v>191</v>
      </c>
      <c r="C19" t="s">
        <v>178</v>
      </c>
      <c r="D19" s="11">
        <v>46056.569247685184</v>
      </c>
      <c r="E19" s="8">
        <v>43.4</v>
      </c>
      <c r="F19" s="7">
        <v>0.98470000000000002</v>
      </c>
      <c r="G19" s="7">
        <v>5.42</v>
      </c>
      <c r="H19">
        <v>210</v>
      </c>
    </row>
    <row r="20" spans="1:8" x14ac:dyDescent="0.25">
      <c r="A20" t="s">
        <v>133</v>
      </c>
      <c r="B20" t="s">
        <v>192</v>
      </c>
      <c r="C20" t="s">
        <v>178</v>
      </c>
      <c r="D20" s="11">
        <v>46056.571979166663</v>
      </c>
      <c r="E20" s="8">
        <v>45.5</v>
      </c>
      <c r="F20" s="7">
        <v>1.3240000000000001</v>
      </c>
      <c r="G20" s="7">
        <v>5.43</v>
      </c>
      <c r="H20">
        <v>210</v>
      </c>
    </row>
    <row r="21" spans="1:8" x14ac:dyDescent="0.25">
      <c r="A21" t="s">
        <v>132</v>
      </c>
      <c r="B21" t="s">
        <v>193</v>
      </c>
      <c r="C21" t="s">
        <v>178</v>
      </c>
      <c r="D21" s="11">
        <v>46056.57471064815</v>
      </c>
      <c r="E21" s="8">
        <v>46.2</v>
      </c>
      <c r="F21" s="7">
        <v>2.3119999999999998</v>
      </c>
      <c r="G21" s="7">
        <v>5.58</v>
      </c>
      <c r="H21">
        <v>211</v>
      </c>
    </row>
    <row r="22" spans="1:8" x14ac:dyDescent="0.25">
      <c r="A22" t="s">
        <v>131</v>
      </c>
      <c r="B22" t="s">
        <v>194</v>
      </c>
      <c r="C22" t="s">
        <v>178</v>
      </c>
      <c r="D22" s="11">
        <v>46056.57744212963</v>
      </c>
      <c r="E22" s="8">
        <v>45.4</v>
      </c>
      <c r="F22" s="7">
        <v>1.0980000000000001</v>
      </c>
      <c r="G22" s="7">
        <v>5.43</v>
      </c>
      <c r="H22">
        <v>210</v>
      </c>
    </row>
    <row r="23" spans="1:8" x14ac:dyDescent="0.25">
      <c r="A23" t="s">
        <v>130</v>
      </c>
      <c r="B23" t="s">
        <v>195</v>
      </c>
      <c r="C23" t="s">
        <v>178</v>
      </c>
      <c r="D23" s="11">
        <v>46056.592094907406</v>
      </c>
      <c r="E23" s="8">
        <v>44.7</v>
      </c>
      <c r="F23" s="7">
        <v>1.214</v>
      </c>
      <c r="G23" s="7">
        <v>4.43</v>
      </c>
      <c r="H23">
        <v>210</v>
      </c>
    </row>
    <row r="24" spans="1:8" x14ac:dyDescent="0.25">
      <c r="A24" t="s">
        <v>129</v>
      </c>
      <c r="B24" t="s">
        <v>196</v>
      </c>
      <c r="C24" t="s">
        <v>178</v>
      </c>
      <c r="D24" s="11">
        <v>46056.594814814816</v>
      </c>
      <c r="E24" s="8">
        <v>43.7</v>
      </c>
      <c r="F24" s="7">
        <v>1.1739999999999999</v>
      </c>
      <c r="G24" s="7">
        <v>5.13</v>
      </c>
      <c r="H24">
        <v>209</v>
      </c>
    </row>
    <row r="25" spans="1:8" x14ac:dyDescent="0.25">
      <c r="A25" t="s">
        <v>128</v>
      </c>
      <c r="B25" t="s">
        <v>197</v>
      </c>
      <c r="C25" t="s">
        <v>178</v>
      </c>
      <c r="D25" s="11">
        <v>46056.597546296296</v>
      </c>
      <c r="E25" s="8">
        <v>45.3</v>
      </c>
      <c r="F25" s="7">
        <v>1.214</v>
      </c>
      <c r="G25" s="7">
        <v>5.47</v>
      </c>
      <c r="H25">
        <v>210</v>
      </c>
    </row>
    <row r="26" spans="1:8" x14ac:dyDescent="0.25">
      <c r="A26" t="s">
        <v>127</v>
      </c>
      <c r="B26" t="s">
        <v>198</v>
      </c>
      <c r="C26" t="s">
        <v>178</v>
      </c>
      <c r="D26" s="11">
        <v>46056.600277777776</v>
      </c>
      <c r="E26" s="8">
        <v>44.6</v>
      </c>
      <c r="F26" s="7">
        <v>1.3029999999999999</v>
      </c>
      <c r="G26" s="7">
        <v>5.35</v>
      </c>
      <c r="H26">
        <v>210</v>
      </c>
    </row>
    <row r="27" spans="1:8" x14ac:dyDescent="0.25">
      <c r="A27" t="s">
        <v>182</v>
      </c>
      <c r="B27" t="s">
        <v>199</v>
      </c>
      <c r="C27" t="s">
        <v>178</v>
      </c>
      <c r="D27" s="11">
        <v>46056.603009259263</v>
      </c>
      <c r="E27" s="8">
        <v>48.7</v>
      </c>
      <c r="F27" s="7">
        <v>1.3520000000000001</v>
      </c>
      <c r="G27" s="7">
        <v>6.09</v>
      </c>
      <c r="H27">
        <v>210</v>
      </c>
    </row>
    <row r="28" spans="1:8" x14ac:dyDescent="0.25">
      <c r="A28" t="s">
        <v>126</v>
      </c>
      <c r="B28" t="s">
        <v>200</v>
      </c>
      <c r="C28" t="s">
        <v>178</v>
      </c>
      <c r="D28" s="11">
        <v>46056.613356481481</v>
      </c>
      <c r="E28" s="8">
        <v>43.8</v>
      </c>
      <c r="F28" s="7">
        <v>1.1120000000000001</v>
      </c>
      <c r="G28" s="7">
        <v>4.68</v>
      </c>
      <c r="H28">
        <v>210</v>
      </c>
    </row>
    <row r="29" spans="1:8" x14ac:dyDescent="0.25">
      <c r="A29" t="s">
        <v>125</v>
      </c>
      <c r="B29" t="s">
        <v>201</v>
      </c>
      <c r="C29" t="s">
        <v>178</v>
      </c>
      <c r="D29" s="11">
        <v>46056.616076388891</v>
      </c>
      <c r="E29" s="8">
        <v>44.3</v>
      </c>
      <c r="F29" s="7">
        <v>1.502</v>
      </c>
      <c r="G29" s="7">
        <v>6.1</v>
      </c>
      <c r="H29">
        <v>209</v>
      </c>
    </row>
    <row r="30" spans="1:8" x14ac:dyDescent="0.25">
      <c r="A30" t="s">
        <v>124</v>
      </c>
      <c r="B30" t="s">
        <v>202</v>
      </c>
      <c r="C30" t="s">
        <v>178</v>
      </c>
      <c r="D30" s="11">
        <v>46056.618796296294</v>
      </c>
      <c r="E30" s="8">
        <v>45.4</v>
      </c>
      <c r="F30" s="7">
        <v>1.4279999999999999</v>
      </c>
      <c r="G30" s="7">
        <v>6.47</v>
      </c>
      <c r="H30">
        <v>209</v>
      </c>
    </row>
    <row r="31" spans="1:8" x14ac:dyDescent="0.25">
      <c r="A31" t="s">
        <v>123</v>
      </c>
      <c r="B31" t="s">
        <v>203</v>
      </c>
      <c r="C31" t="s">
        <v>178</v>
      </c>
      <c r="D31" s="11">
        <v>46056.621527777781</v>
      </c>
      <c r="E31" s="8">
        <v>44.8</v>
      </c>
      <c r="F31" s="7">
        <v>1.6739999999999999</v>
      </c>
      <c r="G31" s="7">
        <v>6.49</v>
      </c>
      <c r="H31">
        <v>210</v>
      </c>
    </row>
    <row r="32" spans="1:8" x14ac:dyDescent="0.25">
      <c r="A32" t="s">
        <v>122</v>
      </c>
      <c r="B32" t="s">
        <v>204</v>
      </c>
      <c r="C32" t="s">
        <v>178</v>
      </c>
      <c r="D32" s="11">
        <v>46056.624259259261</v>
      </c>
      <c r="E32" s="8">
        <v>45.8</v>
      </c>
      <c r="F32" s="7">
        <v>1.8959999999999999</v>
      </c>
      <c r="G32" s="7">
        <v>6.48</v>
      </c>
      <c r="H32">
        <v>211</v>
      </c>
    </row>
    <row r="33" spans="1:8" x14ac:dyDescent="0.25">
      <c r="A33" t="s">
        <v>121</v>
      </c>
      <c r="B33" t="s">
        <v>205</v>
      </c>
      <c r="C33" t="s">
        <v>178</v>
      </c>
      <c r="D33" s="11">
        <v>46056.626979166664</v>
      </c>
      <c r="E33" s="8">
        <v>46.7</v>
      </c>
      <c r="F33" s="7">
        <v>2.2639999999999998</v>
      </c>
      <c r="G33" s="7">
        <v>6.56</v>
      </c>
      <c r="H33">
        <v>210</v>
      </c>
    </row>
    <row r="34" spans="1:8" x14ac:dyDescent="0.25">
      <c r="A34" t="s">
        <v>120</v>
      </c>
      <c r="B34" t="s">
        <v>206</v>
      </c>
      <c r="C34" t="s">
        <v>178</v>
      </c>
      <c r="D34" s="11">
        <v>46056.629710648151</v>
      </c>
      <c r="E34" s="8">
        <v>46.1</v>
      </c>
      <c r="F34" s="7">
        <v>1.8779999999999999</v>
      </c>
      <c r="G34" s="7">
        <v>6.49</v>
      </c>
      <c r="H34">
        <v>210</v>
      </c>
    </row>
    <row r="35" spans="1:8" x14ac:dyDescent="0.25">
      <c r="A35" t="s">
        <v>119</v>
      </c>
      <c r="B35" t="s">
        <v>207</v>
      </c>
      <c r="C35" t="s">
        <v>178</v>
      </c>
      <c r="D35" s="11">
        <v>46056.632430555554</v>
      </c>
      <c r="E35" s="8">
        <v>45.4</v>
      </c>
      <c r="F35" s="7">
        <v>1.956</v>
      </c>
      <c r="G35" s="7">
        <v>6.42</v>
      </c>
      <c r="H35">
        <v>209</v>
      </c>
    </row>
    <row r="36" spans="1:8" x14ac:dyDescent="0.25">
      <c r="A36" t="s">
        <v>118</v>
      </c>
      <c r="B36" t="s">
        <v>208</v>
      </c>
      <c r="C36" t="s">
        <v>178</v>
      </c>
      <c r="D36" s="11">
        <v>46056.635162037041</v>
      </c>
      <c r="E36" s="8">
        <v>44.5</v>
      </c>
      <c r="F36" s="7">
        <v>1.5309999999999999</v>
      </c>
      <c r="G36" s="7">
        <v>6.4</v>
      </c>
      <c r="H36">
        <v>210</v>
      </c>
    </row>
    <row r="37" spans="1:8" x14ac:dyDescent="0.25">
      <c r="A37" t="s">
        <v>182</v>
      </c>
      <c r="B37" t="s">
        <v>181</v>
      </c>
      <c r="C37" t="s">
        <v>178</v>
      </c>
      <c r="D37" s="11">
        <v>46056.63789351852</v>
      </c>
      <c r="E37" s="8">
        <v>48.7</v>
      </c>
      <c r="F37" s="7">
        <v>1.3460000000000001</v>
      </c>
      <c r="G37" s="7">
        <v>6.29</v>
      </c>
      <c r="H37">
        <v>210</v>
      </c>
    </row>
    <row r="38" spans="1:8" x14ac:dyDescent="0.25">
      <c r="A38" t="s">
        <v>117</v>
      </c>
      <c r="B38" t="s">
        <v>209</v>
      </c>
      <c r="C38" t="s">
        <v>178</v>
      </c>
      <c r="D38" s="11">
        <v>46056.646377314813</v>
      </c>
      <c r="E38" s="8">
        <v>45.7</v>
      </c>
      <c r="F38" s="7">
        <v>1.952</v>
      </c>
      <c r="G38" s="7">
        <v>5.79</v>
      </c>
      <c r="H38">
        <v>210</v>
      </c>
    </row>
    <row r="39" spans="1:8" x14ac:dyDescent="0.25">
      <c r="A39" t="s">
        <v>116</v>
      </c>
      <c r="B39" t="s">
        <v>210</v>
      </c>
      <c r="C39" t="s">
        <v>178</v>
      </c>
      <c r="D39" s="11">
        <v>46056.649085648147</v>
      </c>
      <c r="E39" s="8">
        <v>46</v>
      </c>
      <c r="F39" s="7">
        <v>1.954</v>
      </c>
      <c r="G39" s="7">
        <v>6.4</v>
      </c>
      <c r="H39">
        <v>208</v>
      </c>
    </row>
    <row r="40" spans="1:8" x14ac:dyDescent="0.25">
      <c r="A40" t="s">
        <v>115</v>
      </c>
      <c r="B40" t="s">
        <v>211</v>
      </c>
      <c r="C40" t="s">
        <v>178</v>
      </c>
      <c r="D40" s="11">
        <v>46056.651817129627</v>
      </c>
      <c r="E40" s="8">
        <v>45.4</v>
      </c>
      <c r="F40" s="7">
        <v>1.837</v>
      </c>
      <c r="G40" s="7">
        <v>6.44</v>
      </c>
      <c r="H40">
        <v>210</v>
      </c>
    </row>
    <row r="41" spans="1:8" x14ac:dyDescent="0.25">
      <c r="A41" t="s">
        <v>114</v>
      </c>
      <c r="B41" t="s">
        <v>212</v>
      </c>
      <c r="C41" t="s">
        <v>178</v>
      </c>
      <c r="D41" s="11">
        <v>46056.654548611114</v>
      </c>
      <c r="E41" s="8">
        <v>45.4</v>
      </c>
      <c r="F41" s="7">
        <v>2.1509999999999998</v>
      </c>
      <c r="G41" s="7">
        <v>6.51</v>
      </c>
      <c r="H41">
        <v>210</v>
      </c>
    </row>
    <row r="42" spans="1:8" x14ac:dyDescent="0.25">
      <c r="A42" t="s">
        <v>113</v>
      </c>
      <c r="B42" t="s">
        <v>213</v>
      </c>
      <c r="C42" t="s">
        <v>178</v>
      </c>
      <c r="D42" s="11">
        <v>46056.657268518517</v>
      </c>
      <c r="E42" s="8">
        <v>45.1</v>
      </c>
      <c r="F42" s="7">
        <v>1.6950000000000001</v>
      </c>
      <c r="G42" s="7">
        <v>6.5</v>
      </c>
      <c r="H42">
        <v>210</v>
      </c>
    </row>
    <row r="43" spans="1:8" x14ac:dyDescent="0.25">
      <c r="A43" t="s">
        <v>112</v>
      </c>
      <c r="B43" t="s">
        <v>214</v>
      </c>
      <c r="C43" t="s">
        <v>178</v>
      </c>
      <c r="D43" s="11">
        <v>46056.66</v>
      </c>
      <c r="E43" s="8">
        <v>45.4</v>
      </c>
      <c r="F43" s="7">
        <v>2.0649999999999999</v>
      </c>
      <c r="G43" s="7">
        <v>6.46</v>
      </c>
      <c r="H43">
        <v>211</v>
      </c>
    </row>
    <row r="44" spans="1:8" x14ac:dyDescent="0.25">
      <c r="A44" t="s">
        <v>111</v>
      </c>
      <c r="B44" t="s">
        <v>203</v>
      </c>
      <c r="C44" t="s">
        <v>178</v>
      </c>
      <c r="D44" s="11">
        <v>46056.662719907406</v>
      </c>
      <c r="E44" s="8">
        <v>44.6</v>
      </c>
      <c r="F44" s="7">
        <v>1.522</v>
      </c>
      <c r="G44" s="7">
        <v>6.41</v>
      </c>
      <c r="H44">
        <v>210</v>
      </c>
    </row>
    <row r="45" spans="1:8" x14ac:dyDescent="0.25">
      <c r="A45" t="s">
        <v>110</v>
      </c>
      <c r="B45" t="s">
        <v>215</v>
      </c>
      <c r="C45" t="s">
        <v>178</v>
      </c>
      <c r="D45" s="11">
        <v>46056.665439814817</v>
      </c>
      <c r="E45" s="8">
        <v>45.2</v>
      </c>
      <c r="F45" s="7">
        <v>2.0870000000000002</v>
      </c>
      <c r="G45" s="7">
        <v>6.47</v>
      </c>
      <c r="H45">
        <v>210</v>
      </c>
    </row>
    <row r="46" spans="1:8" x14ac:dyDescent="0.25">
      <c r="A46" t="s">
        <v>109</v>
      </c>
      <c r="B46" t="s">
        <v>216</v>
      </c>
      <c r="C46" t="s">
        <v>178</v>
      </c>
      <c r="D46" s="11">
        <v>46056.668171296296</v>
      </c>
      <c r="E46" s="8">
        <v>44.7</v>
      </c>
      <c r="F46" s="7">
        <v>2.4820000000000002</v>
      </c>
      <c r="G46" s="7">
        <v>5.7</v>
      </c>
      <c r="H46">
        <v>210</v>
      </c>
    </row>
    <row r="47" spans="1:8" x14ac:dyDescent="0.25">
      <c r="A47" t="s">
        <v>182</v>
      </c>
      <c r="B47" t="s">
        <v>187</v>
      </c>
      <c r="C47" t="s">
        <v>178</v>
      </c>
      <c r="D47" s="11">
        <v>46056.670902777776</v>
      </c>
      <c r="E47" s="8">
        <v>48.7</v>
      </c>
      <c r="F47" s="7">
        <v>1.3380000000000001</v>
      </c>
      <c r="G47" s="7">
        <v>6.31</v>
      </c>
      <c r="H47">
        <v>210</v>
      </c>
    </row>
    <row r="48" spans="1:8" x14ac:dyDescent="0.25">
      <c r="A48" t="s">
        <v>108</v>
      </c>
      <c r="B48" t="s">
        <v>217</v>
      </c>
      <c r="C48" t="s">
        <v>178</v>
      </c>
      <c r="D48" s="11">
        <v>46056.677060185182</v>
      </c>
      <c r="E48" s="8">
        <v>43</v>
      </c>
      <c r="F48" s="7">
        <v>2.665</v>
      </c>
      <c r="G48" s="7">
        <v>5.34</v>
      </c>
      <c r="H48">
        <v>210</v>
      </c>
    </row>
    <row r="49" spans="1:8" x14ac:dyDescent="0.25">
      <c r="A49" t="s">
        <v>107</v>
      </c>
      <c r="B49" t="s">
        <v>218</v>
      </c>
      <c r="C49" t="s">
        <v>178</v>
      </c>
      <c r="D49" s="11">
        <v>46056.679780092592</v>
      </c>
      <c r="E49" s="8">
        <v>46.4</v>
      </c>
      <c r="F49" s="7">
        <v>2.2799999999999998</v>
      </c>
      <c r="G49" s="7">
        <v>6.16</v>
      </c>
      <c r="H49">
        <v>209</v>
      </c>
    </row>
    <row r="50" spans="1:8" x14ac:dyDescent="0.25">
      <c r="A50" t="s">
        <v>106</v>
      </c>
      <c r="B50" t="s">
        <v>219</v>
      </c>
      <c r="C50" t="s">
        <v>178</v>
      </c>
      <c r="D50" s="11">
        <v>46056.682511574072</v>
      </c>
      <c r="E50" s="8">
        <v>42.3</v>
      </c>
      <c r="F50" s="7">
        <v>2.57</v>
      </c>
      <c r="G50" s="7">
        <v>0.501</v>
      </c>
      <c r="H50">
        <v>210</v>
      </c>
    </row>
    <row r="51" spans="1:8" x14ac:dyDescent="0.25">
      <c r="A51" t="s">
        <v>105</v>
      </c>
      <c r="B51" t="s">
        <v>220</v>
      </c>
      <c r="C51" t="s">
        <v>178</v>
      </c>
      <c r="D51" s="11">
        <v>46056.685219907406</v>
      </c>
      <c r="E51" s="8">
        <v>44.3</v>
      </c>
      <c r="F51" s="7">
        <v>2.3639999999999999</v>
      </c>
      <c r="G51" s="7">
        <v>5.82</v>
      </c>
      <c r="H51">
        <v>209</v>
      </c>
    </row>
    <row r="52" spans="1:8" x14ac:dyDescent="0.25">
      <c r="A52" t="s">
        <v>104</v>
      </c>
      <c r="B52" t="s">
        <v>221</v>
      </c>
      <c r="C52" t="s">
        <v>178</v>
      </c>
      <c r="D52" s="11">
        <v>46056.687939814816</v>
      </c>
      <c r="E52" s="8">
        <v>46.4</v>
      </c>
      <c r="F52" s="7">
        <v>2.6779999999999999</v>
      </c>
      <c r="G52" s="7">
        <v>6.24</v>
      </c>
      <c r="H52">
        <v>209</v>
      </c>
    </row>
    <row r="53" spans="1:8" x14ac:dyDescent="0.25">
      <c r="A53" t="s">
        <v>103</v>
      </c>
      <c r="B53" t="s">
        <v>222</v>
      </c>
      <c r="C53" t="s">
        <v>178</v>
      </c>
      <c r="D53" s="11">
        <v>46056.690659722219</v>
      </c>
      <c r="E53" s="8">
        <v>46</v>
      </c>
      <c r="F53" s="7">
        <v>2.5409999999999999</v>
      </c>
      <c r="G53" s="7">
        <v>6.24</v>
      </c>
      <c r="H53">
        <v>209</v>
      </c>
    </row>
    <row r="54" spans="1:8" x14ac:dyDescent="0.25">
      <c r="A54" t="s">
        <v>102</v>
      </c>
      <c r="B54" t="s">
        <v>223</v>
      </c>
      <c r="C54" t="s">
        <v>178</v>
      </c>
      <c r="D54" s="11">
        <v>46056.693379629629</v>
      </c>
      <c r="E54" s="8">
        <v>47.5</v>
      </c>
      <c r="F54" s="7">
        <v>2.5720000000000001</v>
      </c>
      <c r="G54" s="7">
        <v>6.33</v>
      </c>
      <c r="H54">
        <v>209</v>
      </c>
    </row>
    <row r="55" spans="1:8" x14ac:dyDescent="0.25">
      <c r="A55" t="s">
        <v>101</v>
      </c>
      <c r="B55" t="s">
        <v>224</v>
      </c>
      <c r="C55" t="s">
        <v>178</v>
      </c>
      <c r="D55" s="11">
        <v>46056.696099537039</v>
      </c>
      <c r="E55" s="8">
        <v>45.5</v>
      </c>
      <c r="F55" s="7">
        <v>3.677</v>
      </c>
      <c r="G55" s="7">
        <v>6.17</v>
      </c>
      <c r="H55">
        <v>209</v>
      </c>
    </row>
    <row r="56" spans="1:8" x14ac:dyDescent="0.25">
      <c r="A56" t="s">
        <v>100</v>
      </c>
      <c r="B56" t="s">
        <v>225</v>
      </c>
      <c r="C56" t="s">
        <v>178</v>
      </c>
      <c r="D56" s="11">
        <v>46056.698831018519</v>
      </c>
      <c r="E56" s="8">
        <v>46.8</v>
      </c>
      <c r="F56" s="7">
        <v>3.387</v>
      </c>
      <c r="G56" s="7">
        <v>6.29</v>
      </c>
      <c r="H56">
        <v>210</v>
      </c>
    </row>
    <row r="57" spans="1:8" x14ac:dyDescent="0.25">
      <c r="A57" t="s">
        <v>182</v>
      </c>
      <c r="B57" t="s">
        <v>226</v>
      </c>
      <c r="C57" t="s">
        <v>178</v>
      </c>
      <c r="D57" s="11">
        <v>46056.701539351852</v>
      </c>
      <c r="E57" s="8">
        <v>48.8</v>
      </c>
      <c r="F57" s="7">
        <v>1.3440000000000001</v>
      </c>
      <c r="G57" s="7">
        <v>6.31</v>
      </c>
      <c r="H57">
        <v>208</v>
      </c>
    </row>
    <row r="58" spans="1:8" x14ac:dyDescent="0.25">
      <c r="A58" t="s">
        <v>99</v>
      </c>
      <c r="B58" t="s">
        <v>227</v>
      </c>
      <c r="C58" t="s">
        <v>178</v>
      </c>
      <c r="D58" s="11">
        <v>46056.704259259262</v>
      </c>
      <c r="E58" s="8">
        <v>46.3</v>
      </c>
      <c r="F58" s="7">
        <v>3.1749999999999998</v>
      </c>
      <c r="G58" s="7">
        <v>6.41</v>
      </c>
      <c r="H58">
        <v>209</v>
      </c>
    </row>
    <row r="59" spans="1:8" x14ac:dyDescent="0.25">
      <c r="A59" t="s">
        <v>98</v>
      </c>
      <c r="B59" t="s">
        <v>228</v>
      </c>
      <c r="C59" t="s">
        <v>178</v>
      </c>
      <c r="D59" s="11">
        <v>46056.706979166665</v>
      </c>
      <c r="E59" s="8">
        <v>45.9</v>
      </c>
      <c r="F59" s="7">
        <v>2.5680000000000001</v>
      </c>
      <c r="G59" s="7">
        <v>6.51</v>
      </c>
      <c r="H59">
        <v>209</v>
      </c>
    </row>
    <row r="60" spans="1:8" x14ac:dyDescent="0.25">
      <c r="A60" t="s">
        <v>97</v>
      </c>
      <c r="B60" t="s">
        <v>229</v>
      </c>
      <c r="C60" t="s">
        <v>178</v>
      </c>
      <c r="D60" s="11">
        <v>46056.709699074076</v>
      </c>
      <c r="E60" s="8">
        <v>46.3</v>
      </c>
      <c r="F60" s="7">
        <v>2.9870000000000001</v>
      </c>
      <c r="G60" s="7">
        <v>5.77</v>
      </c>
      <c r="H60">
        <v>209</v>
      </c>
    </row>
    <row r="61" spans="1:8" x14ac:dyDescent="0.25">
      <c r="A61" t="s">
        <v>96</v>
      </c>
      <c r="B61" t="s">
        <v>230</v>
      </c>
      <c r="C61" t="s">
        <v>178</v>
      </c>
      <c r="D61" s="11">
        <v>46056.712418981479</v>
      </c>
      <c r="E61" s="8">
        <v>45.7</v>
      </c>
      <c r="F61" s="7">
        <v>2.903</v>
      </c>
      <c r="G61" s="7">
        <v>6.18</v>
      </c>
      <c r="H61">
        <v>210</v>
      </c>
    </row>
    <row r="62" spans="1:8" x14ac:dyDescent="0.25">
      <c r="A62" t="s">
        <v>95</v>
      </c>
      <c r="B62" t="s">
        <v>217</v>
      </c>
      <c r="C62" t="s">
        <v>178</v>
      </c>
      <c r="D62" s="11">
        <v>46056.715138888889</v>
      </c>
      <c r="E62" s="8">
        <v>50</v>
      </c>
      <c r="F62" s="7">
        <v>1.405</v>
      </c>
      <c r="G62" s="7">
        <v>6.44</v>
      </c>
      <c r="H62">
        <v>210</v>
      </c>
    </row>
    <row r="63" spans="1:8" x14ac:dyDescent="0.25">
      <c r="A63" t="s">
        <v>94</v>
      </c>
      <c r="B63" t="s">
        <v>231</v>
      </c>
      <c r="C63" t="s">
        <v>178</v>
      </c>
      <c r="D63" s="11">
        <v>46056.717870370368</v>
      </c>
      <c r="E63" s="8">
        <v>50.3</v>
      </c>
      <c r="F63" s="7">
        <v>1.0049999999999999</v>
      </c>
      <c r="G63" s="7">
        <v>6.43</v>
      </c>
      <c r="H63">
        <v>210</v>
      </c>
    </row>
    <row r="64" spans="1:8" x14ac:dyDescent="0.25">
      <c r="A64" t="s">
        <v>93</v>
      </c>
      <c r="B64" t="s">
        <v>232</v>
      </c>
      <c r="C64" t="s">
        <v>178</v>
      </c>
      <c r="D64" s="11">
        <v>46056.720590277779</v>
      </c>
      <c r="E64" s="8">
        <v>49.6</v>
      </c>
      <c r="F64" s="7">
        <v>1.4630000000000001</v>
      </c>
      <c r="G64" s="7">
        <v>6.52</v>
      </c>
      <c r="H64">
        <v>209</v>
      </c>
    </row>
    <row r="65" spans="1:8" x14ac:dyDescent="0.25">
      <c r="A65" t="s">
        <v>92</v>
      </c>
      <c r="B65" t="s">
        <v>233</v>
      </c>
      <c r="C65" t="s">
        <v>178</v>
      </c>
      <c r="D65" s="11">
        <v>46056.723310185182</v>
      </c>
      <c r="E65" s="8">
        <v>51.7</v>
      </c>
      <c r="F65" s="7">
        <v>1.516</v>
      </c>
      <c r="G65" s="7">
        <v>6.71</v>
      </c>
      <c r="H65">
        <v>209</v>
      </c>
    </row>
    <row r="66" spans="1:8" x14ac:dyDescent="0.25">
      <c r="A66" t="s">
        <v>91</v>
      </c>
      <c r="B66" t="s">
        <v>234</v>
      </c>
      <c r="C66" t="s">
        <v>178</v>
      </c>
      <c r="D66" s="11">
        <v>46056.726041666669</v>
      </c>
      <c r="E66" s="8">
        <v>52.3</v>
      </c>
      <c r="F66" s="7">
        <v>1.204</v>
      </c>
      <c r="G66" s="7">
        <v>6.75</v>
      </c>
      <c r="H66">
        <v>210</v>
      </c>
    </row>
    <row r="67" spans="1:8" x14ac:dyDescent="0.25">
      <c r="A67" t="s">
        <v>182</v>
      </c>
      <c r="B67" t="s">
        <v>235</v>
      </c>
      <c r="C67" t="s">
        <v>178</v>
      </c>
      <c r="D67" s="11">
        <v>46056.728761574072</v>
      </c>
      <c r="E67" s="8">
        <v>48.8</v>
      </c>
      <c r="F67" s="7">
        <v>1.35</v>
      </c>
      <c r="G67" s="7">
        <v>6.36</v>
      </c>
      <c r="H67">
        <v>209</v>
      </c>
    </row>
    <row r="68" spans="1:8" x14ac:dyDescent="0.25">
      <c r="A68" t="s">
        <v>90</v>
      </c>
      <c r="B68" t="s">
        <v>236</v>
      </c>
      <c r="C68" t="s">
        <v>178</v>
      </c>
      <c r="D68" s="11">
        <v>46056.731504629628</v>
      </c>
      <c r="E68" s="8">
        <v>51.9</v>
      </c>
      <c r="F68" s="7">
        <v>1.2629999999999999</v>
      </c>
      <c r="G68" s="7">
        <v>6.87</v>
      </c>
      <c r="H68">
        <v>211</v>
      </c>
    </row>
    <row r="69" spans="1:8" x14ac:dyDescent="0.25">
      <c r="A69" t="s">
        <v>89</v>
      </c>
      <c r="B69" t="s">
        <v>237</v>
      </c>
      <c r="C69" t="s">
        <v>178</v>
      </c>
      <c r="D69" s="11">
        <v>46056.734224537038</v>
      </c>
      <c r="E69" s="8">
        <v>53.1</v>
      </c>
      <c r="F69" s="7">
        <v>1.1259999999999999</v>
      </c>
      <c r="G69" s="7">
        <v>6.85</v>
      </c>
      <c r="H69">
        <v>209</v>
      </c>
    </row>
    <row r="70" spans="1:8" x14ac:dyDescent="0.25">
      <c r="A70" t="s">
        <v>88</v>
      </c>
      <c r="B70" t="s">
        <v>238</v>
      </c>
      <c r="C70" t="s">
        <v>178</v>
      </c>
      <c r="D70" s="11">
        <v>46056.736956018518</v>
      </c>
      <c r="E70" s="8">
        <v>49.5</v>
      </c>
      <c r="F70" s="7">
        <v>1.387</v>
      </c>
      <c r="G70" s="7">
        <v>6.4</v>
      </c>
      <c r="H70">
        <v>210</v>
      </c>
    </row>
    <row r="71" spans="1:8" x14ac:dyDescent="0.25">
      <c r="A71" t="s">
        <v>87</v>
      </c>
      <c r="B71" t="s">
        <v>239</v>
      </c>
      <c r="C71" t="s">
        <v>178</v>
      </c>
      <c r="D71" s="11">
        <v>46056.739675925928</v>
      </c>
      <c r="E71" s="8">
        <v>50.1</v>
      </c>
      <c r="F71" s="7">
        <v>1.3540000000000001</v>
      </c>
      <c r="G71" s="7">
        <v>6.45</v>
      </c>
      <c r="H71">
        <v>209</v>
      </c>
    </row>
    <row r="72" spans="1:8" x14ac:dyDescent="0.25">
      <c r="A72" t="s">
        <v>86</v>
      </c>
      <c r="B72" t="s">
        <v>240</v>
      </c>
      <c r="C72" t="s">
        <v>178</v>
      </c>
      <c r="D72" s="11">
        <v>46056.742407407408</v>
      </c>
      <c r="E72" s="8">
        <v>50.8</v>
      </c>
      <c r="F72" s="7">
        <v>1.405</v>
      </c>
      <c r="G72" s="7">
        <v>6.44</v>
      </c>
      <c r="H72">
        <v>210</v>
      </c>
    </row>
    <row r="73" spans="1:8" x14ac:dyDescent="0.25">
      <c r="A73" t="s">
        <v>85</v>
      </c>
      <c r="B73" t="s">
        <v>241</v>
      </c>
      <c r="C73" t="s">
        <v>178</v>
      </c>
      <c r="D73" s="11">
        <v>46056.745127314818</v>
      </c>
      <c r="E73" s="8">
        <v>50</v>
      </c>
      <c r="F73" s="7">
        <v>1.1599999999999999</v>
      </c>
      <c r="G73" s="7">
        <v>6.43</v>
      </c>
      <c r="H73">
        <v>209</v>
      </c>
    </row>
    <row r="74" spans="1:8" x14ac:dyDescent="0.25">
      <c r="A74" t="s">
        <v>84</v>
      </c>
      <c r="B74" t="s">
        <v>183</v>
      </c>
      <c r="C74" t="s">
        <v>178</v>
      </c>
      <c r="D74" s="11">
        <v>46056.747858796298</v>
      </c>
      <c r="E74" s="8">
        <v>54</v>
      </c>
      <c r="F74" s="7">
        <v>1.8660000000000001</v>
      </c>
      <c r="G74" s="7">
        <v>6.92</v>
      </c>
      <c r="H74">
        <v>210</v>
      </c>
    </row>
    <row r="75" spans="1:8" x14ac:dyDescent="0.25">
      <c r="A75" t="s">
        <v>83</v>
      </c>
      <c r="B75" t="s">
        <v>242</v>
      </c>
      <c r="C75" t="s">
        <v>178</v>
      </c>
      <c r="D75" s="11">
        <v>46056.750578703701</v>
      </c>
      <c r="E75" s="8">
        <v>49.9</v>
      </c>
      <c r="F75" s="7">
        <v>1.806</v>
      </c>
      <c r="G75" s="7">
        <v>6.44</v>
      </c>
      <c r="H75">
        <v>209</v>
      </c>
    </row>
    <row r="76" spans="1:8" x14ac:dyDescent="0.25">
      <c r="A76" t="s">
        <v>82</v>
      </c>
      <c r="B76" t="s">
        <v>243</v>
      </c>
      <c r="C76" t="s">
        <v>178</v>
      </c>
      <c r="D76" s="11">
        <v>46056.753298611111</v>
      </c>
      <c r="E76" s="8">
        <v>50.7</v>
      </c>
      <c r="F76" s="7">
        <v>1.8420000000000001</v>
      </c>
      <c r="G76" s="7">
        <v>6.53</v>
      </c>
      <c r="H76">
        <v>209</v>
      </c>
    </row>
    <row r="77" spans="1:8" x14ac:dyDescent="0.25">
      <c r="A77" t="s">
        <v>81</v>
      </c>
      <c r="B77" t="s">
        <v>244</v>
      </c>
      <c r="C77" t="s">
        <v>178</v>
      </c>
      <c r="D77" s="11">
        <v>46056.756030092591</v>
      </c>
      <c r="E77" s="8">
        <v>50.3</v>
      </c>
      <c r="F77" s="7">
        <v>1.512</v>
      </c>
      <c r="G77" s="7">
        <v>6.48</v>
      </c>
      <c r="H77">
        <v>210</v>
      </c>
    </row>
    <row r="78" spans="1:8" x14ac:dyDescent="0.25">
      <c r="A78" t="s">
        <v>182</v>
      </c>
      <c r="B78" t="s">
        <v>183</v>
      </c>
      <c r="C78" t="s">
        <v>178</v>
      </c>
      <c r="D78" s="11">
        <v>46056.758750000001</v>
      </c>
      <c r="E78" s="8">
        <v>48.8</v>
      </c>
      <c r="F78" s="7">
        <v>1.3440000000000001</v>
      </c>
      <c r="G78" s="7">
        <v>6.34</v>
      </c>
      <c r="H78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CA53-66C0-495C-8A7C-4A90D0EAEEA3}">
  <dimension ref="A1:R80"/>
  <sheetViews>
    <sheetView topLeftCell="A22" workbookViewId="0">
      <selection sqref="A1:R80"/>
    </sheetView>
  </sheetViews>
  <sheetFormatPr defaultColWidth="11.42578125" defaultRowHeight="15" x14ac:dyDescent="0.25"/>
  <sheetData>
    <row r="1" spans="1:18" x14ac:dyDescent="0.25">
      <c r="A1" t="s">
        <v>245</v>
      </c>
      <c r="C1" s="1">
        <v>2</v>
      </c>
    </row>
    <row r="2" spans="1:18" x14ac:dyDescent="0.25">
      <c r="C2" s="1"/>
    </row>
    <row r="3" spans="1:18" x14ac:dyDescent="0.25">
      <c r="A3" s="13" t="s">
        <v>246</v>
      </c>
      <c r="C3" s="1"/>
      <c r="E3">
        <v>0.1</v>
      </c>
      <c r="F3">
        <v>2.0000000000000001E-4</v>
      </c>
      <c r="G3">
        <v>1.0000000000000001E-5</v>
      </c>
      <c r="H3">
        <v>2.0000000000000002E-5</v>
      </c>
      <c r="I3">
        <v>1E-3</v>
      </c>
      <c r="J3">
        <v>4.0000000000000002E-4</v>
      </c>
      <c r="K3">
        <v>6.9999999999999999E-4</v>
      </c>
      <c r="L3">
        <v>4.0000000000000002E-4</v>
      </c>
      <c r="M3">
        <v>9.0000000000000002E-6</v>
      </c>
      <c r="N3">
        <v>5.0000000000000002E-5</v>
      </c>
      <c r="O3">
        <v>8.0000000000000002E-3</v>
      </c>
      <c r="P3">
        <v>9.0000000000000006E-5</v>
      </c>
      <c r="Q3">
        <v>4.0000000000000002E-4</v>
      </c>
    </row>
    <row r="4" spans="1:18" x14ac:dyDescent="0.25">
      <c r="A4" s="13" t="s">
        <v>247</v>
      </c>
      <c r="C4" s="1"/>
      <c r="E4">
        <v>0.33</v>
      </c>
      <c r="F4">
        <v>7.5000000000000002E-4</v>
      </c>
      <c r="G4">
        <v>4.1999999999999998E-5</v>
      </c>
      <c r="H4">
        <v>5.3999999999999998E-5</v>
      </c>
      <c r="I4">
        <v>3.3999999999999998E-3</v>
      </c>
      <c r="J4">
        <v>1.4E-3</v>
      </c>
      <c r="K4">
        <v>2.3999999999999998E-3</v>
      </c>
      <c r="L4">
        <v>1.2999999999999999E-3</v>
      </c>
      <c r="M4">
        <v>3.0000000000000001E-5</v>
      </c>
      <c r="N4">
        <v>1.4999999999999999E-4</v>
      </c>
      <c r="O4">
        <v>2.5000000000000001E-2</v>
      </c>
      <c r="P4">
        <v>2.9999999999999997E-4</v>
      </c>
      <c r="Q4">
        <v>1.2999999999999999E-3</v>
      </c>
    </row>
    <row r="5" spans="1:18" x14ac:dyDescent="0.25">
      <c r="A5" t="s">
        <v>248</v>
      </c>
      <c r="C5" s="14">
        <v>0.245</v>
      </c>
    </row>
    <row r="6" spans="1:18" x14ac:dyDescent="0.25">
      <c r="A6" t="s">
        <v>249</v>
      </c>
      <c r="C6" s="1">
        <v>50</v>
      </c>
    </row>
    <row r="7" spans="1:18" x14ac:dyDescent="0.25">
      <c r="C7" s="1"/>
      <c r="E7" s="6" t="s">
        <v>66</v>
      </c>
      <c r="F7" s="6" t="s">
        <v>67</v>
      </c>
      <c r="G7" s="6" t="s">
        <v>68</v>
      </c>
      <c r="H7" s="6" t="s">
        <v>69</v>
      </c>
      <c r="I7" s="6" t="s">
        <v>70</v>
      </c>
      <c r="J7" s="6" t="s">
        <v>71</v>
      </c>
      <c r="K7" s="6" t="s">
        <v>72</v>
      </c>
      <c r="L7" s="6" t="s">
        <v>73</v>
      </c>
      <c r="M7" s="6" t="s">
        <v>74</v>
      </c>
      <c r="N7" s="6" t="s">
        <v>75</v>
      </c>
      <c r="O7" s="6" t="s">
        <v>76</v>
      </c>
      <c r="P7" s="6" t="s">
        <v>77</v>
      </c>
      <c r="Q7" s="6" t="s">
        <v>78</v>
      </c>
      <c r="R7" s="6"/>
    </row>
    <row r="8" spans="1:18" x14ac:dyDescent="0.25">
      <c r="A8" t="s">
        <v>250</v>
      </c>
      <c r="B8" t="s">
        <v>251</v>
      </c>
      <c r="C8" s="1" t="s">
        <v>252</v>
      </c>
      <c r="E8" s="6" t="s">
        <v>79</v>
      </c>
      <c r="F8" s="6" t="s">
        <v>80</v>
      </c>
      <c r="G8" s="6" t="s">
        <v>80</v>
      </c>
      <c r="H8" s="6" t="s">
        <v>80</v>
      </c>
      <c r="I8" s="6" t="s">
        <v>80</v>
      </c>
      <c r="J8" s="6" t="s">
        <v>80</v>
      </c>
      <c r="K8" s="6" t="s">
        <v>80</v>
      </c>
      <c r="L8" s="6" t="s">
        <v>80</v>
      </c>
      <c r="M8" s="6" t="s">
        <v>80</v>
      </c>
      <c r="N8" s="6" t="s">
        <v>80</v>
      </c>
      <c r="O8" s="6" t="s">
        <v>79</v>
      </c>
      <c r="P8" s="6" t="s">
        <v>80</v>
      </c>
      <c r="Q8" s="6" t="s">
        <v>79</v>
      </c>
      <c r="R8" s="6"/>
    </row>
    <row r="9" spans="1:18" x14ac:dyDescent="0.25">
      <c r="C9" s="1"/>
    </row>
    <row r="10" spans="1:18" x14ac:dyDescent="0.25">
      <c r="A10" t="s">
        <v>253</v>
      </c>
      <c r="B10">
        <v>0.2064</v>
      </c>
      <c r="C10" s="1" t="s">
        <v>5</v>
      </c>
      <c r="E10" s="2">
        <v>3.9</v>
      </c>
      <c r="F10" s="2">
        <v>3.9E-2</v>
      </c>
      <c r="G10" s="2">
        <v>0.44</v>
      </c>
      <c r="H10" s="2">
        <v>0.11</v>
      </c>
      <c r="I10" s="3">
        <v>0.9</v>
      </c>
      <c r="J10" s="2">
        <v>0.72</v>
      </c>
      <c r="K10" s="2">
        <v>1.6</v>
      </c>
      <c r="L10" s="2">
        <v>1.6</v>
      </c>
      <c r="M10" s="2">
        <v>0.19</v>
      </c>
      <c r="N10" s="2">
        <v>7.2999999999999995E-2</v>
      </c>
      <c r="O10" s="2">
        <v>3.4</v>
      </c>
      <c r="P10" s="2">
        <v>4.9000000000000002E-2</v>
      </c>
      <c r="Q10" s="2">
        <v>0.21</v>
      </c>
    </row>
    <row r="11" spans="1:18" x14ac:dyDescent="0.25">
      <c r="A11" t="s">
        <v>254</v>
      </c>
      <c r="B11">
        <v>0.2117</v>
      </c>
      <c r="C11" s="1" t="s">
        <v>6</v>
      </c>
      <c r="E11" s="2">
        <v>10</v>
      </c>
      <c r="F11" s="2">
        <v>4.5999999999999999E-2</v>
      </c>
      <c r="G11" s="2">
        <v>1.2</v>
      </c>
      <c r="H11" s="3">
        <v>0.2</v>
      </c>
      <c r="I11" s="2">
        <v>0.85</v>
      </c>
      <c r="J11" s="2">
        <v>0.83</v>
      </c>
      <c r="K11" s="2">
        <v>1.5</v>
      </c>
      <c r="L11" s="2">
        <v>9.9</v>
      </c>
      <c r="M11" s="2">
        <v>0.84</v>
      </c>
      <c r="N11" s="3">
        <v>0.1</v>
      </c>
      <c r="O11" s="2">
        <v>5.4</v>
      </c>
      <c r="P11" s="2">
        <v>7.4999999999999997E-2</v>
      </c>
      <c r="Q11" s="2">
        <v>0.14000000000000001</v>
      </c>
    </row>
    <row r="12" spans="1:18" x14ac:dyDescent="0.25">
      <c r="A12" t="s">
        <v>255</v>
      </c>
      <c r="B12">
        <v>0.27250000000000002</v>
      </c>
      <c r="C12" s="1" t="s">
        <v>7</v>
      </c>
      <c r="E12" s="2">
        <v>11</v>
      </c>
      <c r="F12" s="4">
        <v>0.04</v>
      </c>
      <c r="G12" s="2">
        <v>1.5</v>
      </c>
      <c r="H12" s="2">
        <v>0.19</v>
      </c>
      <c r="I12" s="2">
        <v>1.2</v>
      </c>
      <c r="J12" s="2">
        <v>1.1000000000000001</v>
      </c>
      <c r="K12" s="2">
        <v>2.2999999999999998</v>
      </c>
      <c r="L12" s="2">
        <v>13</v>
      </c>
      <c r="M12" s="2">
        <v>0.27</v>
      </c>
      <c r="N12" s="2">
        <v>9.8000000000000004E-2</v>
      </c>
      <c r="O12" s="5">
        <v>4</v>
      </c>
      <c r="P12" s="2">
        <v>8.8999999999999996E-2</v>
      </c>
      <c r="Q12" s="2">
        <v>0.18</v>
      </c>
    </row>
    <row r="13" spans="1:18" x14ac:dyDescent="0.25">
      <c r="A13" t="s">
        <v>256</v>
      </c>
      <c r="B13">
        <v>0.26889999999999997</v>
      </c>
      <c r="C13" s="1" t="s">
        <v>8</v>
      </c>
      <c r="E13" s="2">
        <v>3.9</v>
      </c>
      <c r="F13" s="2">
        <v>3.1E-2</v>
      </c>
      <c r="G13" s="3">
        <v>0.6</v>
      </c>
      <c r="H13" s="2">
        <v>0.13</v>
      </c>
      <c r="I13" s="2">
        <v>0.64</v>
      </c>
      <c r="J13" s="5">
        <v>1</v>
      </c>
      <c r="K13" s="2">
        <v>1.9</v>
      </c>
      <c r="L13" s="2">
        <v>2.2000000000000002</v>
      </c>
      <c r="M13" s="2">
        <v>0.17</v>
      </c>
      <c r="N13" s="2">
        <v>0.13</v>
      </c>
      <c r="O13" s="2">
        <v>4.5</v>
      </c>
      <c r="P13" s="2">
        <v>3.5999999999999997E-2</v>
      </c>
      <c r="Q13" s="2">
        <v>0.21</v>
      </c>
    </row>
    <row r="14" spans="1:18" x14ac:dyDescent="0.25">
      <c r="A14" t="s">
        <v>257</v>
      </c>
      <c r="B14">
        <v>0.2525</v>
      </c>
      <c r="C14" s="1" t="s">
        <v>9</v>
      </c>
      <c r="E14" s="2">
        <v>3.3</v>
      </c>
      <c r="F14" s="2">
        <v>3.4000000000000002E-2</v>
      </c>
      <c r="G14" s="2">
        <v>0.46</v>
      </c>
      <c r="H14" s="3">
        <v>0.1</v>
      </c>
      <c r="I14" s="2">
        <v>0.42</v>
      </c>
      <c r="J14" s="2">
        <v>0.8</v>
      </c>
      <c r="K14" s="2">
        <v>1.4</v>
      </c>
      <c r="L14" s="2">
        <v>1.6</v>
      </c>
      <c r="M14" s="2">
        <v>0.11</v>
      </c>
      <c r="N14" s="3">
        <v>0.1</v>
      </c>
      <c r="O14" s="2">
        <v>3.9</v>
      </c>
      <c r="P14" s="2">
        <v>5.8999999999999997E-2</v>
      </c>
      <c r="Q14" s="2">
        <v>0.66</v>
      </c>
    </row>
    <row r="15" spans="1:18" x14ac:dyDescent="0.25">
      <c r="A15" t="s">
        <v>258</v>
      </c>
      <c r="B15">
        <v>0.27039999999999997</v>
      </c>
      <c r="C15" s="1" t="s">
        <v>10</v>
      </c>
      <c r="E15" s="2">
        <v>2.4</v>
      </c>
      <c r="F15" s="2">
        <v>3.3000000000000002E-2</v>
      </c>
      <c r="G15" s="2">
        <v>0.35</v>
      </c>
      <c r="H15" s="3">
        <v>0.1</v>
      </c>
      <c r="I15" s="2">
        <v>0.46</v>
      </c>
      <c r="J15" s="2">
        <v>0.92</v>
      </c>
      <c r="K15" s="2">
        <v>1.1000000000000001</v>
      </c>
      <c r="L15" s="2">
        <v>0.92</v>
      </c>
      <c r="M15" s="2">
        <v>0.06</v>
      </c>
      <c r="N15" s="2">
        <v>0.12</v>
      </c>
      <c r="O15" s="2">
        <v>3.6</v>
      </c>
      <c r="P15" s="4">
        <v>0.03</v>
      </c>
      <c r="Q15" s="2">
        <v>0.66</v>
      </c>
    </row>
    <row r="16" spans="1:18" x14ac:dyDescent="0.25">
      <c r="A16" t="s">
        <v>259</v>
      </c>
      <c r="B16">
        <v>0.25580000000000003</v>
      </c>
      <c r="C16" s="1" t="s">
        <v>11</v>
      </c>
      <c r="E16" s="2">
        <v>2.7</v>
      </c>
      <c r="F16" s="4">
        <v>0.03</v>
      </c>
      <c r="G16" s="2">
        <v>0.47</v>
      </c>
      <c r="H16" s="2">
        <v>0.13</v>
      </c>
      <c r="I16" s="2">
        <v>0.33</v>
      </c>
      <c r="J16" s="2">
        <v>0.79</v>
      </c>
      <c r="K16" s="2">
        <v>1.7</v>
      </c>
      <c r="L16" s="2">
        <v>1.6</v>
      </c>
      <c r="M16" s="2">
        <v>0.25</v>
      </c>
      <c r="N16" s="2">
        <v>8.7999999999999995E-2</v>
      </c>
      <c r="O16" s="2">
        <v>2.7</v>
      </c>
      <c r="P16" s="2">
        <v>3.9E-2</v>
      </c>
      <c r="Q16" s="2">
        <v>0.36</v>
      </c>
    </row>
    <row r="17" spans="1:17" x14ac:dyDescent="0.25">
      <c r="A17" t="s">
        <v>260</v>
      </c>
      <c r="B17">
        <v>0.2671</v>
      </c>
      <c r="C17" s="1" t="s">
        <v>12</v>
      </c>
      <c r="E17" s="2">
        <v>4.3</v>
      </c>
      <c r="F17" s="2">
        <v>3.4000000000000002E-2</v>
      </c>
      <c r="G17" s="2">
        <v>1.1000000000000001</v>
      </c>
      <c r="H17" s="2">
        <v>0.13</v>
      </c>
      <c r="I17" s="2">
        <v>1.1000000000000001</v>
      </c>
      <c r="J17" s="2">
        <v>0.92</v>
      </c>
      <c r="K17" s="2">
        <v>2.2000000000000002</v>
      </c>
      <c r="L17" s="2">
        <v>2.6</v>
      </c>
      <c r="M17" s="2">
        <v>0.52</v>
      </c>
      <c r="N17" s="2">
        <v>9.5000000000000001E-2</v>
      </c>
      <c r="O17" s="2">
        <v>4.0999999999999996</v>
      </c>
      <c r="P17" s="2">
        <v>3.7999999999999999E-2</v>
      </c>
      <c r="Q17" s="2">
        <v>0.35</v>
      </c>
    </row>
    <row r="18" spans="1:17" x14ac:dyDescent="0.25">
      <c r="A18" t="s">
        <v>261</v>
      </c>
      <c r="B18">
        <v>0.2636</v>
      </c>
      <c r="C18" s="1" t="s">
        <v>13</v>
      </c>
      <c r="E18" s="5">
        <v>6</v>
      </c>
      <c r="F18" s="2">
        <v>0.15</v>
      </c>
      <c r="G18" s="2">
        <v>1.8</v>
      </c>
      <c r="H18" s="2">
        <v>0.11</v>
      </c>
      <c r="I18" s="2">
        <v>1.9</v>
      </c>
      <c r="J18" s="5">
        <v>2</v>
      </c>
      <c r="K18" s="2">
        <v>9.1999999999999993</v>
      </c>
      <c r="L18" s="5">
        <v>3</v>
      </c>
      <c r="M18" s="2">
        <v>0.64</v>
      </c>
      <c r="N18" s="2">
        <v>0.12</v>
      </c>
      <c r="O18" s="2">
        <v>6.2</v>
      </c>
      <c r="P18" s="2">
        <v>9.7000000000000003E-2</v>
      </c>
      <c r="Q18" s="2">
        <v>0.33</v>
      </c>
    </row>
    <row r="19" spans="1:17" x14ac:dyDescent="0.25">
      <c r="A19" t="s">
        <v>262</v>
      </c>
      <c r="B19">
        <v>0.23419999999999999</v>
      </c>
      <c r="C19" s="1" t="s">
        <v>14</v>
      </c>
      <c r="E19" s="2">
        <v>1.9</v>
      </c>
      <c r="F19" s="2">
        <v>5.3999999999999999E-2</v>
      </c>
      <c r="G19" s="3">
        <v>0.2</v>
      </c>
      <c r="H19" s="3">
        <v>0.4</v>
      </c>
      <c r="I19" s="2">
        <v>0.38</v>
      </c>
      <c r="J19" s="2">
        <v>0.91</v>
      </c>
      <c r="K19" s="2">
        <v>1.3</v>
      </c>
      <c r="L19" s="2">
        <v>0.48</v>
      </c>
      <c r="M19" s="2">
        <v>2.1000000000000001E-2</v>
      </c>
      <c r="N19" s="2">
        <v>0.18</v>
      </c>
      <c r="O19" s="2">
        <v>3.2</v>
      </c>
      <c r="P19" s="2">
        <v>2.1999999999999999E-2</v>
      </c>
      <c r="Q19" s="2">
        <v>0.33</v>
      </c>
    </row>
    <row r="20" spans="1:17" x14ac:dyDescent="0.25">
      <c r="A20" t="s">
        <v>263</v>
      </c>
      <c r="B20">
        <v>0.21329999999999999</v>
      </c>
      <c r="C20" s="1" t="s">
        <v>15</v>
      </c>
      <c r="E20" s="2">
        <v>1.9</v>
      </c>
      <c r="F20" s="2">
        <v>7.0999999999999994E-2</v>
      </c>
      <c r="G20" s="2">
        <v>0.26</v>
      </c>
      <c r="H20" s="2">
        <v>0.54</v>
      </c>
      <c r="I20" s="2">
        <v>0.54</v>
      </c>
      <c r="J20" s="5">
        <v>1</v>
      </c>
      <c r="K20" s="2">
        <v>1.7</v>
      </c>
      <c r="L20" s="2">
        <v>0.61</v>
      </c>
      <c r="M20" s="2">
        <v>4.2000000000000003E-2</v>
      </c>
      <c r="N20" s="3">
        <v>0.2</v>
      </c>
      <c r="O20" s="2">
        <v>4.0999999999999996</v>
      </c>
      <c r="P20" s="2">
        <v>0.15</v>
      </c>
      <c r="Q20" s="2">
        <v>0.31</v>
      </c>
    </row>
    <row r="21" spans="1:17" x14ac:dyDescent="0.25">
      <c r="A21" t="s">
        <v>264</v>
      </c>
      <c r="B21">
        <v>0.28860000000000002</v>
      </c>
      <c r="C21" s="1" t="s">
        <v>16</v>
      </c>
      <c r="E21" s="2">
        <v>3.1</v>
      </c>
      <c r="F21" s="2">
        <v>7.5999999999999998E-2</v>
      </c>
      <c r="G21" s="2">
        <v>0.31</v>
      </c>
      <c r="H21" s="3">
        <v>0.2</v>
      </c>
      <c r="I21" s="2">
        <v>0.65</v>
      </c>
      <c r="J21" s="2">
        <v>0.93</v>
      </c>
      <c r="K21" s="2">
        <v>2.1</v>
      </c>
      <c r="L21" s="2">
        <v>0.81</v>
      </c>
      <c r="M21" s="2">
        <v>9.0999999999999998E-2</v>
      </c>
      <c r="N21" s="2">
        <v>0.12</v>
      </c>
      <c r="O21" s="2">
        <v>3.4</v>
      </c>
      <c r="P21" s="2">
        <v>2.8000000000000001E-2</v>
      </c>
      <c r="Q21" s="2">
        <v>0.28000000000000003</v>
      </c>
    </row>
    <row r="22" spans="1:17" x14ac:dyDescent="0.25">
      <c r="A22" t="s">
        <v>265</v>
      </c>
      <c r="B22">
        <v>0.2722</v>
      </c>
      <c r="C22" s="1" t="s">
        <v>17</v>
      </c>
      <c r="E22" s="2">
        <v>2.9</v>
      </c>
      <c r="F22" s="2">
        <v>4.8000000000000001E-2</v>
      </c>
      <c r="G22" s="2">
        <v>0.48</v>
      </c>
      <c r="H22" s="2">
        <v>0.11</v>
      </c>
      <c r="I22" s="2">
        <v>0.68</v>
      </c>
      <c r="J22" s="2">
        <v>0.89</v>
      </c>
      <c r="K22" s="2">
        <v>1.7</v>
      </c>
      <c r="L22" s="2">
        <v>1.2</v>
      </c>
      <c r="M22" s="2">
        <v>0.12</v>
      </c>
      <c r="N22" s="2">
        <v>0.11</v>
      </c>
      <c r="O22" s="2">
        <v>3.7</v>
      </c>
      <c r="P22" s="2">
        <v>4.8000000000000001E-2</v>
      </c>
      <c r="Q22" s="3">
        <v>0.4</v>
      </c>
    </row>
    <row r="23" spans="1:17" x14ac:dyDescent="0.25">
      <c r="A23" t="s">
        <v>266</v>
      </c>
      <c r="B23">
        <v>0.27579999999999999</v>
      </c>
      <c r="C23" s="1" t="s">
        <v>18</v>
      </c>
      <c r="E23" s="5">
        <v>2</v>
      </c>
      <c r="F23" s="2">
        <v>0.12</v>
      </c>
      <c r="G23" s="2">
        <v>0.25</v>
      </c>
      <c r="H23" s="2">
        <v>0.24</v>
      </c>
      <c r="I23" s="2">
        <v>0.5</v>
      </c>
      <c r="J23" s="2">
        <v>0.99</v>
      </c>
      <c r="K23" s="2">
        <v>1.5</v>
      </c>
      <c r="L23" s="3">
        <v>0.5</v>
      </c>
      <c r="M23" s="2">
        <v>5.1999999999999998E-2</v>
      </c>
      <c r="N23" s="2">
        <v>0.14000000000000001</v>
      </c>
      <c r="O23" s="2">
        <v>3.9</v>
      </c>
      <c r="P23" s="2">
        <v>2.4E-2</v>
      </c>
      <c r="Q23" s="2">
        <v>0.44</v>
      </c>
    </row>
    <row r="24" spans="1:17" x14ac:dyDescent="0.25">
      <c r="A24" t="s">
        <v>267</v>
      </c>
      <c r="B24">
        <v>0.2959</v>
      </c>
      <c r="C24" s="1" t="s">
        <v>19</v>
      </c>
      <c r="E24" s="2">
        <v>2.2000000000000002</v>
      </c>
      <c r="F24" s="2">
        <v>4.2000000000000003E-2</v>
      </c>
      <c r="G24" s="2">
        <v>0.41</v>
      </c>
      <c r="H24" s="2">
        <v>8.1000000000000003E-2</v>
      </c>
      <c r="I24" s="2">
        <v>0.81</v>
      </c>
      <c r="J24" s="2">
        <v>0.76</v>
      </c>
      <c r="K24" s="5">
        <v>2</v>
      </c>
      <c r="L24" s="5">
        <v>1</v>
      </c>
      <c r="M24" s="2">
        <v>8.5999999999999993E-2</v>
      </c>
      <c r="N24" s="2">
        <v>9.4E-2</v>
      </c>
      <c r="O24" s="2">
        <v>3.1</v>
      </c>
      <c r="P24" s="2">
        <v>2.9000000000000001E-2</v>
      </c>
      <c r="Q24" s="2">
        <v>0.25</v>
      </c>
    </row>
    <row r="25" spans="1:17" x14ac:dyDescent="0.25">
      <c r="A25" t="s">
        <v>268</v>
      </c>
      <c r="B25">
        <v>0.24629999999999999</v>
      </c>
      <c r="C25" s="1" t="s">
        <v>20</v>
      </c>
      <c r="E25" s="2">
        <v>3.6</v>
      </c>
      <c r="F25" s="2">
        <v>1.6E-2</v>
      </c>
      <c r="G25" s="2">
        <v>0.71</v>
      </c>
      <c r="H25" s="2">
        <v>3.9E-2</v>
      </c>
      <c r="I25" s="2">
        <v>2.6</v>
      </c>
      <c r="J25" s="2">
        <v>1.2</v>
      </c>
      <c r="K25" s="2">
        <v>13</v>
      </c>
      <c r="L25" s="2">
        <v>1.2</v>
      </c>
      <c r="M25" s="2">
        <v>0.12</v>
      </c>
      <c r="N25" s="2">
        <v>3.7999999999999999E-2</v>
      </c>
      <c r="O25" s="2">
        <v>3.3</v>
      </c>
      <c r="P25" s="2">
        <v>4.7E-2</v>
      </c>
      <c r="Q25" s="2">
        <v>0.32</v>
      </c>
    </row>
    <row r="26" spans="1:17" x14ac:dyDescent="0.25">
      <c r="A26" t="s">
        <v>269</v>
      </c>
      <c r="B26">
        <v>0.24390000000000001</v>
      </c>
      <c r="C26" s="1" t="s">
        <v>21</v>
      </c>
      <c r="E26" s="2">
        <v>4.9000000000000004</v>
      </c>
      <c r="F26" s="2">
        <v>0.02</v>
      </c>
      <c r="G26" s="3">
        <v>0.9</v>
      </c>
      <c r="H26" s="4">
        <v>0.04</v>
      </c>
      <c r="I26" s="2">
        <v>1.4</v>
      </c>
      <c r="J26" s="2">
        <v>0.86</v>
      </c>
      <c r="K26" s="2">
        <v>11</v>
      </c>
      <c r="L26" s="2">
        <v>2.5</v>
      </c>
      <c r="M26" s="2">
        <v>0.56000000000000005</v>
      </c>
      <c r="N26" s="2">
        <v>3.6999999999999998E-2</v>
      </c>
      <c r="O26" s="2">
        <v>3.7</v>
      </c>
      <c r="P26" s="4">
        <v>0.04</v>
      </c>
      <c r="Q26" s="2">
        <v>0.14000000000000001</v>
      </c>
    </row>
    <row r="27" spans="1:17" x14ac:dyDescent="0.25">
      <c r="A27" t="s">
        <v>270</v>
      </c>
      <c r="B27">
        <v>0.2356</v>
      </c>
      <c r="C27" s="1" t="s">
        <v>22</v>
      </c>
      <c r="E27" s="2">
        <v>4.8</v>
      </c>
      <c r="F27" s="2">
        <v>1.7999999999999999E-2</v>
      </c>
      <c r="G27" s="2">
        <v>0.71</v>
      </c>
      <c r="H27" s="2">
        <v>2.5000000000000001E-2</v>
      </c>
      <c r="I27" s="2">
        <v>1.9</v>
      </c>
      <c r="J27" s="2">
        <v>1.2</v>
      </c>
      <c r="K27" s="2">
        <v>14</v>
      </c>
      <c r="L27" s="2">
        <v>1.7</v>
      </c>
      <c r="M27" s="2">
        <v>0.15</v>
      </c>
      <c r="N27" s="2">
        <v>3.9E-2</v>
      </c>
      <c r="O27" s="2">
        <v>4.4000000000000004</v>
      </c>
      <c r="P27" s="2">
        <v>3.1E-2</v>
      </c>
      <c r="Q27" s="2">
        <v>0.16</v>
      </c>
    </row>
    <row r="28" spans="1:17" x14ac:dyDescent="0.25">
      <c r="A28" t="s">
        <v>271</v>
      </c>
      <c r="B28">
        <v>0.25140000000000001</v>
      </c>
      <c r="C28" s="1" t="s">
        <v>23</v>
      </c>
      <c r="E28" s="2">
        <v>3.5</v>
      </c>
      <c r="F28" s="2">
        <v>4.9000000000000002E-2</v>
      </c>
      <c r="G28" s="2">
        <v>0.88</v>
      </c>
      <c r="H28" s="2">
        <v>1.7000000000000001E-2</v>
      </c>
      <c r="I28" s="5">
        <v>1</v>
      </c>
      <c r="J28" s="2">
        <v>1.6</v>
      </c>
      <c r="K28" s="2">
        <v>11</v>
      </c>
      <c r="L28" s="2">
        <v>1.3</v>
      </c>
      <c r="M28" s="2">
        <v>0.05</v>
      </c>
      <c r="N28" s="2">
        <v>4.1000000000000002E-2</v>
      </c>
      <c r="O28" s="2">
        <v>4.5999999999999996</v>
      </c>
      <c r="P28" s="2">
        <v>3.7999999999999999E-2</v>
      </c>
      <c r="Q28" s="3">
        <v>0.2</v>
      </c>
    </row>
    <row r="29" spans="1:17" x14ac:dyDescent="0.25">
      <c r="A29" t="s">
        <v>272</v>
      </c>
      <c r="B29">
        <v>0.26069999999999999</v>
      </c>
      <c r="C29" s="1" t="s">
        <v>24</v>
      </c>
      <c r="E29" s="2">
        <v>3.8</v>
      </c>
      <c r="F29" s="2">
        <v>2.4E-2</v>
      </c>
      <c r="G29" s="2">
        <v>1.2</v>
      </c>
      <c r="H29" s="2">
        <v>3.1E-2</v>
      </c>
      <c r="I29" s="2">
        <v>1.5</v>
      </c>
      <c r="J29" s="2">
        <v>1.8</v>
      </c>
      <c r="K29" s="2">
        <v>10</v>
      </c>
      <c r="L29" s="2">
        <v>2.1</v>
      </c>
      <c r="M29" s="2">
        <v>0.12</v>
      </c>
      <c r="N29" s="2">
        <v>5.7000000000000002E-2</v>
      </c>
      <c r="O29" s="2">
        <v>7.3</v>
      </c>
      <c r="P29" s="2">
        <v>8.5000000000000006E-2</v>
      </c>
      <c r="Q29" s="2">
        <v>0.52</v>
      </c>
    </row>
    <row r="30" spans="1:17" x14ac:dyDescent="0.25">
      <c r="A30" t="s">
        <v>273</v>
      </c>
      <c r="B30">
        <v>0.27510000000000001</v>
      </c>
      <c r="C30" s="1" t="s">
        <v>25</v>
      </c>
      <c r="E30" s="5">
        <v>3</v>
      </c>
      <c r="F30" s="2">
        <v>5.7000000000000002E-2</v>
      </c>
      <c r="G30" s="2">
        <v>1.2</v>
      </c>
      <c r="H30" s="4">
        <v>9.9000000000000008E-3</v>
      </c>
      <c r="I30" s="2">
        <v>1.1000000000000001</v>
      </c>
      <c r="J30" s="2">
        <v>1.6</v>
      </c>
      <c r="K30" s="2">
        <v>9.1999999999999993</v>
      </c>
      <c r="L30" s="2">
        <v>1.2</v>
      </c>
      <c r="M30" s="2">
        <v>8.3000000000000004E-2</v>
      </c>
      <c r="N30" s="2">
        <v>4.1000000000000002E-2</v>
      </c>
      <c r="O30" s="2">
        <v>6.1</v>
      </c>
      <c r="P30" s="4">
        <v>0.03</v>
      </c>
      <c r="Q30" s="2">
        <v>0.64</v>
      </c>
    </row>
    <row r="31" spans="1:17" x14ac:dyDescent="0.25">
      <c r="A31" t="s">
        <v>274</v>
      </c>
      <c r="B31">
        <v>0.2034</v>
      </c>
      <c r="C31" s="1" t="s">
        <v>26</v>
      </c>
      <c r="E31" s="2">
        <v>3.5</v>
      </c>
      <c r="F31" s="2">
        <v>2.4E-2</v>
      </c>
      <c r="G31" s="2">
        <v>0.92</v>
      </c>
      <c r="H31" s="2">
        <v>1.4999999999999999E-2</v>
      </c>
      <c r="I31" s="5">
        <v>1</v>
      </c>
      <c r="J31" s="2">
        <v>1.6</v>
      </c>
      <c r="K31" s="2">
        <v>14</v>
      </c>
      <c r="L31" s="2">
        <v>1.3</v>
      </c>
      <c r="M31" s="2">
        <v>0.25</v>
      </c>
      <c r="N31" s="2">
        <v>4.2000000000000003E-2</v>
      </c>
      <c r="O31" s="2">
        <v>5.0999999999999996</v>
      </c>
      <c r="P31" s="2">
        <v>3.5999999999999997E-2</v>
      </c>
      <c r="Q31" s="2">
        <v>0.42</v>
      </c>
    </row>
    <row r="32" spans="1:17" x14ac:dyDescent="0.25">
      <c r="A32" t="s">
        <v>275</v>
      </c>
      <c r="B32">
        <v>0.25750000000000001</v>
      </c>
      <c r="C32" s="1" t="s">
        <v>27</v>
      </c>
      <c r="E32" s="5">
        <v>3</v>
      </c>
      <c r="F32" s="2">
        <v>1.9E-2</v>
      </c>
      <c r="G32" s="2">
        <v>0.84</v>
      </c>
      <c r="H32" s="2">
        <v>1.2999999999999999E-2</v>
      </c>
      <c r="I32" s="2">
        <v>2.2000000000000002</v>
      </c>
      <c r="J32" s="2">
        <v>1.1000000000000001</v>
      </c>
      <c r="K32" s="2">
        <v>15</v>
      </c>
      <c r="L32" s="2">
        <v>0.57999999999999996</v>
      </c>
      <c r="M32" s="2">
        <v>0.15</v>
      </c>
      <c r="N32" s="2">
        <v>3.5000000000000003E-2</v>
      </c>
      <c r="O32" s="2">
        <v>3.2</v>
      </c>
      <c r="P32" s="2">
        <v>2.5999999999999999E-2</v>
      </c>
      <c r="Q32" s="2">
        <v>0.41</v>
      </c>
    </row>
    <row r="33" spans="1:17" x14ac:dyDescent="0.25">
      <c r="A33" t="s">
        <v>276</v>
      </c>
      <c r="B33">
        <v>0.23200000000000001</v>
      </c>
      <c r="C33" s="1" t="s">
        <v>28</v>
      </c>
      <c r="E33" s="2">
        <v>3.8</v>
      </c>
      <c r="F33" s="2">
        <v>0.25</v>
      </c>
      <c r="G33" s="2">
        <v>1.4</v>
      </c>
      <c r="H33" s="2">
        <v>2.4E-2</v>
      </c>
      <c r="I33" s="2">
        <v>1.9</v>
      </c>
      <c r="J33" s="2">
        <v>1.6</v>
      </c>
      <c r="K33" s="2">
        <v>14</v>
      </c>
      <c r="L33" s="2">
        <v>1.4</v>
      </c>
      <c r="M33" s="2">
        <v>0.32</v>
      </c>
      <c r="N33" s="2">
        <v>4.8000000000000001E-2</v>
      </c>
      <c r="O33" s="2">
        <v>5.2</v>
      </c>
      <c r="P33" s="2">
        <v>4.9000000000000002E-2</v>
      </c>
      <c r="Q33" s="2">
        <v>0.25</v>
      </c>
    </row>
    <row r="34" spans="1:17" x14ac:dyDescent="0.25">
      <c r="A34" t="s">
        <v>277</v>
      </c>
      <c r="B34">
        <v>0.2838</v>
      </c>
      <c r="C34" s="1" t="s">
        <v>29</v>
      </c>
      <c r="E34" s="2">
        <v>2.5</v>
      </c>
      <c r="F34" s="2">
        <v>8.7999999999999995E-2</v>
      </c>
      <c r="G34" s="2">
        <v>0.65</v>
      </c>
      <c r="H34" s="4">
        <v>0.06</v>
      </c>
      <c r="I34" s="5">
        <v>1</v>
      </c>
      <c r="J34" s="2">
        <v>1.7</v>
      </c>
      <c r="K34" s="2">
        <v>8.4</v>
      </c>
      <c r="L34" s="2">
        <v>0.88</v>
      </c>
      <c r="M34" s="2">
        <v>6.2E-2</v>
      </c>
      <c r="N34" s="2">
        <v>5.6000000000000001E-2</v>
      </c>
      <c r="O34" s="2">
        <v>5.4</v>
      </c>
      <c r="P34" s="2">
        <v>3.2000000000000001E-2</v>
      </c>
      <c r="Q34" s="2">
        <v>0.47</v>
      </c>
    </row>
    <row r="35" spans="1:17" x14ac:dyDescent="0.25">
      <c r="A35" t="s">
        <v>278</v>
      </c>
      <c r="B35">
        <v>0.27560000000000001</v>
      </c>
      <c r="C35" s="1" t="s">
        <v>30</v>
      </c>
      <c r="E35" s="2">
        <v>2.2999999999999998</v>
      </c>
      <c r="F35" s="2">
        <v>0.14000000000000001</v>
      </c>
      <c r="G35" s="2">
        <v>0.63</v>
      </c>
      <c r="H35" s="2">
        <v>5.3999999999999999E-2</v>
      </c>
      <c r="I35" s="2">
        <v>1.2</v>
      </c>
      <c r="J35" s="2">
        <v>1.7</v>
      </c>
      <c r="K35" s="2">
        <v>10</v>
      </c>
      <c r="L35" s="2">
        <v>0.87</v>
      </c>
      <c r="M35" s="2">
        <v>9.0999999999999998E-2</v>
      </c>
      <c r="N35" s="2">
        <v>4.1000000000000002E-2</v>
      </c>
      <c r="O35" s="2">
        <v>4.5999999999999996</v>
      </c>
      <c r="P35" s="2">
        <v>9.5000000000000001E-2</v>
      </c>
      <c r="Q35" s="3">
        <v>0.4</v>
      </c>
    </row>
    <row r="36" spans="1:17" x14ac:dyDescent="0.25">
      <c r="A36" t="s">
        <v>279</v>
      </c>
      <c r="B36">
        <v>0.24030000000000001</v>
      </c>
      <c r="C36" s="1" t="s">
        <v>31</v>
      </c>
      <c r="E36" s="2">
        <v>2.6</v>
      </c>
      <c r="F36" s="2">
        <v>3.2000000000000001E-2</v>
      </c>
      <c r="G36" s="2">
        <v>0.71</v>
      </c>
      <c r="H36" s="2">
        <v>4.1000000000000002E-2</v>
      </c>
      <c r="I36" s="2">
        <v>1.5</v>
      </c>
      <c r="J36" s="2">
        <v>1.7</v>
      </c>
      <c r="K36" s="2">
        <v>10</v>
      </c>
      <c r="L36" s="2">
        <v>0.9</v>
      </c>
      <c r="M36" s="3">
        <v>0.1</v>
      </c>
      <c r="N36" s="2">
        <v>4.2999999999999997E-2</v>
      </c>
      <c r="O36" s="2">
        <v>4.9000000000000004</v>
      </c>
      <c r="P36" s="2">
        <v>2.9000000000000001E-2</v>
      </c>
      <c r="Q36" s="2">
        <v>0.34</v>
      </c>
    </row>
    <row r="37" spans="1:17" x14ac:dyDescent="0.25">
      <c r="A37" t="s">
        <v>280</v>
      </c>
      <c r="B37">
        <v>0.26319999999999999</v>
      </c>
      <c r="C37" s="1" t="s">
        <v>32</v>
      </c>
      <c r="E37" s="2">
        <v>3.3</v>
      </c>
      <c r="F37" s="2">
        <v>2.7E-2</v>
      </c>
      <c r="G37" s="2">
        <v>0.83</v>
      </c>
      <c r="H37" s="2">
        <v>1.2E-2</v>
      </c>
      <c r="I37" s="2">
        <v>1.4</v>
      </c>
      <c r="J37" s="2">
        <v>1.5</v>
      </c>
      <c r="K37" s="2">
        <v>11</v>
      </c>
      <c r="L37" s="2">
        <v>1.1000000000000001</v>
      </c>
      <c r="M37" s="2">
        <v>9.0999999999999998E-2</v>
      </c>
      <c r="N37" s="2">
        <v>2.9000000000000001E-2</v>
      </c>
      <c r="O37" s="5">
        <v>4</v>
      </c>
      <c r="P37" s="2">
        <v>4.4999999999999998E-2</v>
      </c>
      <c r="Q37" s="2">
        <v>0.43</v>
      </c>
    </row>
    <row r="38" spans="1:17" x14ac:dyDescent="0.25">
      <c r="A38" t="s">
        <v>281</v>
      </c>
      <c r="B38">
        <v>0.2797</v>
      </c>
      <c r="C38" s="1" t="s">
        <v>33</v>
      </c>
      <c r="E38" s="2">
        <v>2.6</v>
      </c>
      <c r="F38" s="2">
        <v>6.3E-2</v>
      </c>
      <c r="G38" s="2">
        <v>0.67</v>
      </c>
      <c r="H38" s="2">
        <v>5.2999999999999999E-2</v>
      </c>
      <c r="I38" s="2">
        <v>1.3</v>
      </c>
      <c r="J38" s="2">
        <v>1.6</v>
      </c>
      <c r="K38" s="2">
        <v>10</v>
      </c>
      <c r="L38" s="2">
        <v>0.64</v>
      </c>
      <c r="M38" s="2">
        <v>7.4999999999999997E-2</v>
      </c>
      <c r="N38" s="2">
        <v>3.6999999999999998E-2</v>
      </c>
      <c r="O38" s="2">
        <v>4.5999999999999996</v>
      </c>
      <c r="P38" s="4">
        <v>0.03</v>
      </c>
      <c r="Q38" s="2">
        <v>0.52</v>
      </c>
    </row>
    <row r="39" spans="1:17" x14ac:dyDescent="0.25">
      <c r="A39" t="s">
        <v>282</v>
      </c>
      <c r="B39">
        <v>0.21240000000000001</v>
      </c>
      <c r="C39" s="1" t="s">
        <v>34</v>
      </c>
      <c r="E39" s="2">
        <v>2.5</v>
      </c>
      <c r="F39" s="2">
        <v>2.4E-2</v>
      </c>
      <c r="G39" s="2">
        <v>0.66</v>
      </c>
      <c r="H39" s="2">
        <v>4.9000000000000002E-2</v>
      </c>
      <c r="I39" s="2">
        <v>1.8</v>
      </c>
      <c r="J39" s="2">
        <v>1.2</v>
      </c>
      <c r="K39" s="2">
        <v>10</v>
      </c>
      <c r="L39" s="2">
        <v>0.78</v>
      </c>
      <c r="M39" s="2">
        <v>5.7000000000000002E-2</v>
      </c>
      <c r="N39" s="2">
        <v>3.3000000000000002E-2</v>
      </c>
      <c r="O39" s="2">
        <v>3.2</v>
      </c>
      <c r="P39" s="2">
        <v>2.7E-2</v>
      </c>
      <c r="Q39" s="2">
        <v>0.39</v>
      </c>
    </row>
    <row r="40" spans="1:17" x14ac:dyDescent="0.25">
      <c r="A40" t="s">
        <v>283</v>
      </c>
      <c r="B40">
        <v>0.25790000000000002</v>
      </c>
      <c r="C40" s="1" t="s">
        <v>35</v>
      </c>
      <c r="E40" s="2">
        <v>19</v>
      </c>
      <c r="F40" s="2">
        <v>5.5E-2</v>
      </c>
      <c r="G40" s="2">
        <v>2.5</v>
      </c>
      <c r="H40" s="2">
        <v>7.5999999999999998E-2</v>
      </c>
      <c r="I40" s="5">
        <v>4</v>
      </c>
      <c r="J40" s="2">
        <v>1.2</v>
      </c>
      <c r="K40" s="2">
        <v>13</v>
      </c>
      <c r="L40" s="2">
        <v>5.4</v>
      </c>
      <c r="M40" s="2">
        <v>0.12</v>
      </c>
      <c r="N40" s="2">
        <v>5.0999999999999997E-2</v>
      </c>
      <c r="O40" s="2">
        <v>9.1</v>
      </c>
      <c r="P40" s="2">
        <v>5.7000000000000002E-2</v>
      </c>
      <c r="Q40" s="2">
        <v>0.23</v>
      </c>
    </row>
    <row r="41" spans="1:17" x14ac:dyDescent="0.25">
      <c r="A41" t="s">
        <v>284</v>
      </c>
      <c r="B41">
        <v>0.28249999999999997</v>
      </c>
      <c r="C41" s="1" t="s">
        <v>36</v>
      </c>
      <c r="E41" s="2">
        <v>16</v>
      </c>
      <c r="F41" s="3">
        <v>0.3</v>
      </c>
      <c r="G41" s="2">
        <v>5.3</v>
      </c>
      <c r="H41" s="2">
        <v>0.11</v>
      </c>
      <c r="I41" s="2">
        <v>2.4</v>
      </c>
      <c r="J41" s="2">
        <v>1.4</v>
      </c>
      <c r="K41" s="2">
        <v>18</v>
      </c>
      <c r="L41" s="2">
        <v>14</v>
      </c>
      <c r="M41" s="2">
        <v>0.27</v>
      </c>
      <c r="N41" s="2">
        <v>4.4999999999999998E-2</v>
      </c>
      <c r="O41" s="2">
        <v>6.4</v>
      </c>
      <c r="P41" s="2">
        <v>7.1999999999999995E-2</v>
      </c>
      <c r="Q41" s="2">
        <v>0.16</v>
      </c>
    </row>
    <row r="42" spans="1:17" x14ac:dyDescent="0.25">
      <c r="A42" t="s">
        <v>285</v>
      </c>
      <c r="B42">
        <v>0.21529999999999999</v>
      </c>
      <c r="C42" s="1" t="s">
        <v>37</v>
      </c>
      <c r="E42" s="2">
        <v>20</v>
      </c>
      <c r="F42" s="3">
        <v>0.2</v>
      </c>
      <c r="G42" s="2">
        <v>6.5</v>
      </c>
      <c r="H42" s="3">
        <v>0.2</v>
      </c>
      <c r="I42" s="2">
        <v>3.7</v>
      </c>
      <c r="J42" s="2">
        <v>2.4</v>
      </c>
      <c r="K42" s="2">
        <v>17</v>
      </c>
      <c r="L42" s="2">
        <v>23</v>
      </c>
      <c r="M42" s="2">
        <v>0.12</v>
      </c>
      <c r="N42" s="2">
        <v>4.8000000000000001E-2</v>
      </c>
      <c r="O42" s="2">
        <v>6.6</v>
      </c>
      <c r="P42" s="2">
        <v>3.3000000000000002E-2</v>
      </c>
      <c r="Q42" s="2">
        <v>9.8000000000000004E-2</v>
      </c>
    </row>
    <row r="43" spans="1:17" x14ac:dyDescent="0.25">
      <c r="A43" t="s">
        <v>286</v>
      </c>
      <c r="B43">
        <v>3.9199999999999999E-2</v>
      </c>
      <c r="C43" s="1" t="s">
        <v>38</v>
      </c>
      <c r="E43" s="2">
        <v>14</v>
      </c>
      <c r="F43" s="2">
        <v>3.7999999999999999E-2</v>
      </c>
      <c r="G43" s="2">
        <v>3.9</v>
      </c>
      <c r="H43" s="2">
        <v>8.3000000000000004E-2</v>
      </c>
      <c r="I43" s="2">
        <v>1.9</v>
      </c>
      <c r="J43" s="2">
        <v>1.9</v>
      </c>
      <c r="K43" s="2">
        <v>24</v>
      </c>
      <c r="L43" s="2">
        <v>4.0999999999999996</v>
      </c>
      <c r="M43" s="2">
        <v>6.4000000000000001E-2</v>
      </c>
      <c r="N43" s="2">
        <v>8.5000000000000006E-2</v>
      </c>
      <c r="O43" s="2">
        <v>7.1</v>
      </c>
      <c r="P43" s="2">
        <v>7.8E-2</v>
      </c>
      <c r="Q43" s="2">
        <v>0.13</v>
      </c>
    </row>
    <row r="44" spans="1:17" x14ac:dyDescent="0.25">
      <c r="A44" t="s">
        <v>287</v>
      </c>
      <c r="B44" s="1" t="s">
        <v>40</v>
      </c>
      <c r="C44" s="1" t="s">
        <v>39</v>
      </c>
      <c r="E44" s="1" t="s">
        <v>40</v>
      </c>
      <c r="F44" s="1" t="s">
        <v>40</v>
      </c>
      <c r="G44" s="1" t="s">
        <v>40</v>
      </c>
      <c r="H44" s="1" t="s">
        <v>40</v>
      </c>
      <c r="I44" s="1" t="s">
        <v>40</v>
      </c>
      <c r="J44" s="1" t="s">
        <v>40</v>
      </c>
      <c r="K44" s="1" t="s">
        <v>40</v>
      </c>
      <c r="L44" s="1" t="s">
        <v>40</v>
      </c>
      <c r="M44" s="1" t="s">
        <v>40</v>
      </c>
      <c r="N44" s="1" t="s">
        <v>40</v>
      </c>
      <c r="O44" s="1" t="s">
        <v>40</v>
      </c>
      <c r="P44" s="1" t="s">
        <v>40</v>
      </c>
      <c r="Q44" s="1" t="s">
        <v>40</v>
      </c>
    </row>
    <row r="45" spans="1:17" x14ac:dyDescent="0.25">
      <c r="A45" t="s">
        <v>288</v>
      </c>
      <c r="B45">
        <v>0.24</v>
      </c>
      <c r="C45" s="1" t="s">
        <v>41</v>
      </c>
      <c r="E45" s="2">
        <v>13</v>
      </c>
      <c r="F45" s="2">
        <v>0.35</v>
      </c>
      <c r="G45" s="2">
        <v>5.8</v>
      </c>
      <c r="H45" s="2">
        <v>0.24</v>
      </c>
      <c r="I45" s="2">
        <v>3.3</v>
      </c>
      <c r="J45" s="2">
        <v>1.7</v>
      </c>
      <c r="K45" s="2">
        <v>17</v>
      </c>
      <c r="L45" s="2">
        <v>13</v>
      </c>
      <c r="M45" s="2">
        <v>0.21</v>
      </c>
      <c r="N45" s="2">
        <v>5.7000000000000002E-2</v>
      </c>
      <c r="O45" s="2">
        <v>5.8</v>
      </c>
      <c r="P45" s="2">
        <v>4.1000000000000002E-2</v>
      </c>
      <c r="Q45" s="3">
        <v>0.5</v>
      </c>
    </row>
    <row r="46" spans="1:17" x14ac:dyDescent="0.25">
      <c r="A46" t="s">
        <v>289</v>
      </c>
      <c r="B46">
        <v>0.29730000000000001</v>
      </c>
      <c r="C46" s="1" t="s">
        <v>42</v>
      </c>
      <c r="E46" s="2">
        <v>11</v>
      </c>
      <c r="F46" s="2">
        <v>8.7999999999999995E-2</v>
      </c>
      <c r="G46" s="2">
        <v>4.5999999999999996</v>
      </c>
      <c r="H46" s="2">
        <v>8.4000000000000005E-2</v>
      </c>
      <c r="I46" s="2">
        <v>1.7</v>
      </c>
      <c r="J46" s="2">
        <v>2.6</v>
      </c>
      <c r="K46" s="2">
        <v>25</v>
      </c>
      <c r="L46" s="2">
        <v>5.0999999999999996</v>
      </c>
      <c r="M46" s="2">
        <v>0.47</v>
      </c>
      <c r="N46" s="2">
        <v>4.5999999999999999E-2</v>
      </c>
      <c r="O46" s="2">
        <v>6.1</v>
      </c>
      <c r="P46" s="2">
        <v>7.5999999999999998E-2</v>
      </c>
      <c r="Q46" s="2">
        <v>0.28000000000000003</v>
      </c>
    </row>
    <row r="47" spans="1:17" x14ac:dyDescent="0.25">
      <c r="A47" t="s">
        <v>290</v>
      </c>
      <c r="B47">
        <v>0.26169999999999999</v>
      </c>
      <c r="C47" s="1" t="s">
        <v>43</v>
      </c>
      <c r="E47" s="2">
        <v>13</v>
      </c>
      <c r="F47" s="2">
        <v>4.2999999999999997E-2</v>
      </c>
      <c r="G47" s="2">
        <v>6.9</v>
      </c>
      <c r="H47" s="2">
        <v>4.2000000000000003E-2</v>
      </c>
      <c r="I47" s="2">
        <v>3.5</v>
      </c>
      <c r="J47" s="2">
        <v>1.7</v>
      </c>
      <c r="K47" s="2">
        <v>22</v>
      </c>
      <c r="L47" s="2">
        <v>4.0999999999999996</v>
      </c>
      <c r="M47" s="2">
        <v>0.31</v>
      </c>
      <c r="N47" s="2">
        <v>5.3999999999999999E-2</v>
      </c>
      <c r="O47" s="2">
        <v>5.9</v>
      </c>
      <c r="P47" s="2">
        <v>3.3000000000000002E-2</v>
      </c>
      <c r="Q47" s="2">
        <v>0.25</v>
      </c>
    </row>
    <row r="48" spans="1:17" x14ac:dyDescent="0.25">
      <c r="A48" t="s">
        <v>291</v>
      </c>
      <c r="B48">
        <v>0.23649999999999999</v>
      </c>
      <c r="C48" s="1" t="s">
        <v>44</v>
      </c>
      <c r="E48" s="2">
        <v>12</v>
      </c>
      <c r="F48" s="2">
        <v>0.11</v>
      </c>
      <c r="G48" s="2">
        <v>3.4</v>
      </c>
      <c r="H48" s="2">
        <v>8.7999999999999995E-2</v>
      </c>
      <c r="I48" s="2">
        <v>2.2999999999999998</v>
      </c>
      <c r="J48" s="5">
        <v>2</v>
      </c>
      <c r="K48" s="2">
        <v>13</v>
      </c>
      <c r="L48" s="2">
        <v>4.3</v>
      </c>
      <c r="M48" s="2">
        <v>0.65</v>
      </c>
      <c r="N48" s="2">
        <v>0.11</v>
      </c>
      <c r="O48" s="2">
        <v>6.7</v>
      </c>
      <c r="P48" s="2">
        <v>0.11</v>
      </c>
      <c r="Q48" s="3">
        <v>0.4</v>
      </c>
    </row>
    <row r="49" spans="1:17" x14ac:dyDescent="0.25">
      <c r="A49" t="s">
        <v>292</v>
      </c>
      <c r="B49">
        <v>7.0099999999999996E-2</v>
      </c>
      <c r="C49" s="1" t="s">
        <v>45</v>
      </c>
      <c r="E49" s="2">
        <v>21</v>
      </c>
      <c r="F49" s="2">
        <v>0.19</v>
      </c>
      <c r="G49" s="2">
        <v>4.8</v>
      </c>
      <c r="H49" s="2">
        <v>0.11</v>
      </c>
      <c r="I49" s="2">
        <v>3.1</v>
      </c>
      <c r="J49" s="2">
        <v>2.9</v>
      </c>
      <c r="K49" s="2">
        <v>19</v>
      </c>
      <c r="L49" s="2">
        <v>4.0999999999999996</v>
      </c>
      <c r="M49" s="2">
        <v>4.7E-2</v>
      </c>
      <c r="N49" s="2">
        <v>7.5999999999999998E-2</v>
      </c>
      <c r="O49" s="2">
        <v>11</v>
      </c>
      <c r="P49" s="2">
        <v>7.0999999999999994E-2</v>
      </c>
      <c r="Q49" s="2">
        <v>0.57999999999999996</v>
      </c>
    </row>
    <row r="50" spans="1:17" x14ac:dyDescent="0.25">
      <c r="A50" t="s">
        <v>293</v>
      </c>
      <c r="B50">
        <v>0.23369999999999999</v>
      </c>
      <c r="C50" s="1" t="s">
        <v>46</v>
      </c>
      <c r="E50" s="2">
        <v>21</v>
      </c>
      <c r="F50" s="2">
        <v>5.1999999999999998E-2</v>
      </c>
      <c r="G50" s="2">
        <v>2.2000000000000002</v>
      </c>
      <c r="H50" s="2">
        <v>8.4000000000000005E-2</v>
      </c>
      <c r="I50" s="2">
        <v>3.5</v>
      </c>
      <c r="J50" s="2">
        <v>2.2999999999999998</v>
      </c>
      <c r="K50" s="2">
        <v>31</v>
      </c>
      <c r="L50" s="2">
        <v>3.6</v>
      </c>
      <c r="M50" s="2">
        <v>0.19</v>
      </c>
      <c r="N50" s="2">
        <v>7.8E-2</v>
      </c>
      <c r="O50" s="2">
        <v>14</v>
      </c>
      <c r="P50" s="2">
        <v>0.17</v>
      </c>
      <c r="Q50" s="2">
        <v>0.54</v>
      </c>
    </row>
    <row r="51" spans="1:17" x14ac:dyDescent="0.25">
      <c r="A51" t="s">
        <v>294</v>
      </c>
      <c r="B51">
        <v>0.2243</v>
      </c>
      <c r="C51" s="1" t="s">
        <v>47</v>
      </c>
      <c r="E51" s="2">
        <v>11</v>
      </c>
      <c r="F51" s="2">
        <v>4.7E-2</v>
      </c>
      <c r="G51" s="2">
        <v>4.0999999999999996</v>
      </c>
      <c r="H51" s="2">
        <v>7.3999999999999996E-2</v>
      </c>
      <c r="I51" s="2">
        <v>2.4</v>
      </c>
      <c r="J51" s="2">
        <v>2.8</v>
      </c>
      <c r="K51" s="2">
        <v>24</v>
      </c>
      <c r="L51" s="2">
        <v>3.1</v>
      </c>
      <c r="M51" s="2">
        <v>0.26</v>
      </c>
      <c r="N51" s="2">
        <v>9.5000000000000001E-2</v>
      </c>
      <c r="O51" s="2">
        <v>7.7</v>
      </c>
      <c r="P51" s="2">
        <v>7.3999999999999996E-2</v>
      </c>
      <c r="Q51" s="2">
        <v>0.25</v>
      </c>
    </row>
    <row r="52" spans="1:17" x14ac:dyDescent="0.25">
      <c r="A52" t="s">
        <v>295</v>
      </c>
      <c r="B52">
        <v>0.2261</v>
      </c>
      <c r="C52" s="1" t="s">
        <v>48</v>
      </c>
      <c r="E52" s="2">
        <v>20</v>
      </c>
      <c r="F52" s="2">
        <v>3.6999999999999998E-2</v>
      </c>
      <c r="G52" s="2">
        <v>2.2000000000000002</v>
      </c>
      <c r="H52" s="4">
        <v>0.03</v>
      </c>
      <c r="I52" s="2">
        <v>1.9</v>
      </c>
      <c r="J52" s="2">
        <v>1.6</v>
      </c>
      <c r="K52" s="2">
        <v>26</v>
      </c>
      <c r="L52" s="2">
        <v>2.4</v>
      </c>
      <c r="M52" s="4">
        <v>7.0000000000000007E-2</v>
      </c>
      <c r="N52" s="2">
        <v>0.05</v>
      </c>
      <c r="O52" s="2">
        <v>10</v>
      </c>
      <c r="P52" s="2">
        <v>4.1000000000000002E-2</v>
      </c>
      <c r="Q52" s="2">
        <v>0.56000000000000005</v>
      </c>
    </row>
    <row r="53" spans="1:17" x14ac:dyDescent="0.25">
      <c r="A53" t="s">
        <v>296</v>
      </c>
      <c r="B53" s="1" t="s">
        <v>40</v>
      </c>
      <c r="C53" s="1" t="s">
        <v>49</v>
      </c>
      <c r="E53" s="1" t="s">
        <v>40</v>
      </c>
      <c r="F53" s="1" t="s">
        <v>40</v>
      </c>
      <c r="G53" s="1" t="s">
        <v>40</v>
      </c>
      <c r="H53" s="1" t="s">
        <v>40</v>
      </c>
      <c r="I53" s="1" t="s">
        <v>40</v>
      </c>
      <c r="J53" s="1" t="s">
        <v>40</v>
      </c>
      <c r="K53" s="1" t="s">
        <v>40</v>
      </c>
      <c r="L53" s="1" t="s">
        <v>40</v>
      </c>
      <c r="M53" s="1" t="s">
        <v>40</v>
      </c>
      <c r="N53" s="1" t="s">
        <v>40</v>
      </c>
      <c r="O53" s="1" t="s">
        <v>40</v>
      </c>
      <c r="P53" s="1" t="s">
        <v>40</v>
      </c>
      <c r="Q53" s="1" t="s">
        <v>40</v>
      </c>
    </row>
    <row r="54" spans="1:17" x14ac:dyDescent="0.25">
      <c r="A54" t="s">
        <v>297</v>
      </c>
      <c r="B54">
        <v>0.26640000000000003</v>
      </c>
      <c r="C54" s="1" t="s">
        <v>50</v>
      </c>
      <c r="E54" s="2">
        <v>19</v>
      </c>
      <c r="F54" s="4">
        <v>0.02</v>
      </c>
      <c r="G54" s="2">
        <v>2.1</v>
      </c>
      <c r="H54" s="2">
        <v>3.5000000000000003E-2</v>
      </c>
      <c r="I54" s="2">
        <v>2.6</v>
      </c>
      <c r="J54" s="2">
        <v>1.7</v>
      </c>
      <c r="K54" s="2">
        <v>31</v>
      </c>
      <c r="L54" s="2">
        <v>3.3</v>
      </c>
      <c r="M54" s="2">
        <v>0.15</v>
      </c>
      <c r="N54" s="2">
        <v>5.7000000000000002E-2</v>
      </c>
      <c r="O54" s="2">
        <v>9.3000000000000007</v>
      </c>
      <c r="P54" s="2">
        <v>3.2000000000000001E-2</v>
      </c>
      <c r="Q54" s="2">
        <v>0.36</v>
      </c>
    </row>
    <row r="55" spans="1:17" x14ac:dyDescent="0.25">
      <c r="A55" t="s">
        <v>298</v>
      </c>
      <c r="B55">
        <v>0.23960000000000001</v>
      </c>
      <c r="C55" s="1" t="s">
        <v>51</v>
      </c>
      <c r="E55" s="2">
        <v>10</v>
      </c>
      <c r="F55" s="2">
        <v>2.5999999999999999E-2</v>
      </c>
      <c r="G55" s="2">
        <v>1.2</v>
      </c>
      <c r="H55" s="2">
        <v>0.12</v>
      </c>
      <c r="I55" s="2">
        <v>1.6</v>
      </c>
      <c r="J55" s="2">
        <v>1.4</v>
      </c>
      <c r="K55" s="2">
        <v>5.5</v>
      </c>
      <c r="L55" s="5">
        <v>5</v>
      </c>
      <c r="M55" s="2">
        <v>0.77</v>
      </c>
      <c r="N55" s="4">
        <v>0.03</v>
      </c>
      <c r="O55" s="2">
        <v>5.5</v>
      </c>
      <c r="P55" s="2">
        <v>4.3999999999999997E-2</v>
      </c>
      <c r="Q55" s="3">
        <v>0.2</v>
      </c>
    </row>
    <row r="56" spans="1:17" x14ac:dyDescent="0.25">
      <c r="A56" t="s">
        <v>299</v>
      </c>
      <c r="B56">
        <v>0.22359999999999999</v>
      </c>
      <c r="C56" s="1" t="s">
        <v>52</v>
      </c>
      <c r="E56" s="2">
        <v>10</v>
      </c>
      <c r="F56" s="2">
        <v>6.7000000000000004E-2</v>
      </c>
      <c r="G56" s="2">
        <v>1.2</v>
      </c>
      <c r="H56" s="2">
        <v>0.13</v>
      </c>
      <c r="I56" s="5">
        <v>1</v>
      </c>
      <c r="J56" s="2">
        <v>0.88</v>
      </c>
      <c r="K56" s="2">
        <v>3.9</v>
      </c>
      <c r="L56" s="2">
        <v>5.2</v>
      </c>
      <c r="M56" s="5">
        <v>2</v>
      </c>
      <c r="N56" s="2">
        <v>2.5000000000000001E-2</v>
      </c>
      <c r="O56" s="2">
        <v>5.4</v>
      </c>
      <c r="P56" s="2">
        <v>3.1E-2</v>
      </c>
      <c r="Q56" s="2">
        <v>4.4999999999999998E-2</v>
      </c>
    </row>
    <row r="57" spans="1:17" x14ac:dyDescent="0.25">
      <c r="A57" t="s">
        <v>300</v>
      </c>
      <c r="B57">
        <v>0.2621</v>
      </c>
      <c r="C57" s="1" t="s">
        <v>53</v>
      </c>
      <c r="E57" s="2">
        <v>9.5</v>
      </c>
      <c r="F57" s="2">
        <v>4.1000000000000002E-2</v>
      </c>
      <c r="G57" s="2">
        <v>1.5</v>
      </c>
      <c r="H57" s="2">
        <v>0.13</v>
      </c>
      <c r="I57" s="2">
        <v>1.6</v>
      </c>
      <c r="J57" s="2">
        <v>1.2</v>
      </c>
      <c r="K57" s="2">
        <v>5.0999999999999996</v>
      </c>
      <c r="L57" s="2">
        <v>6.4</v>
      </c>
      <c r="M57" s="2">
        <v>1.9</v>
      </c>
      <c r="N57" s="4">
        <v>0.03</v>
      </c>
      <c r="O57" s="2">
        <v>5.7</v>
      </c>
      <c r="P57" s="2">
        <v>4.3999999999999997E-2</v>
      </c>
      <c r="Q57" s="2">
        <v>4.5999999999999999E-2</v>
      </c>
    </row>
    <row r="58" spans="1:17" x14ac:dyDescent="0.25">
      <c r="A58" t="s">
        <v>301</v>
      </c>
      <c r="B58">
        <v>0.29039999999999999</v>
      </c>
      <c r="C58" s="1" t="s">
        <v>54</v>
      </c>
      <c r="E58" s="2">
        <v>13</v>
      </c>
      <c r="F58" s="4">
        <v>0.05</v>
      </c>
      <c r="G58" s="2">
        <v>1.3</v>
      </c>
      <c r="H58" s="2">
        <v>7.9000000000000001E-2</v>
      </c>
      <c r="I58" s="2">
        <v>0.97</v>
      </c>
      <c r="J58" s="5">
        <v>1</v>
      </c>
      <c r="K58" s="2">
        <v>5.3</v>
      </c>
      <c r="L58" s="2">
        <v>4.7</v>
      </c>
      <c r="M58" s="2">
        <v>0.45</v>
      </c>
      <c r="N58" s="4">
        <v>0.03</v>
      </c>
      <c r="O58" s="2">
        <v>7.1</v>
      </c>
      <c r="P58" s="2">
        <v>4.1000000000000002E-2</v>
      </c>
      <c r="Q58" s="2">
        <v>9.6000000000000002E-2</v>
      </c>
    </row>
    <row r="59" spans="1:17" x14ac:dyDescent="0.25">
      <c r="A59" t="s">
        <v>302</v>
      </c>
      <c r="B59">
        <v>0.2492</v>
      </c>
      <c r="C59" s="1" t="s">
        <v>55</v>
      </c>
      <c r="E59" s="2">
        <v>12</v>
      </c>
      <c r="F59" s="2">
        <v>8.3000000000000004E-2</v>
      </c>
      <c r="G59" s="2">
        <v>0.96</v>
      </c>
      <c r="H59" s="2">
        <v>6.7000000000000004E-2</v>
      </c>
      <c r="I59" s="2">
        <v>0.69</v>
      </c>
      <c r="J59" s="2">
        <v>1.1000000000000001</v>
      </c>
      <c r="K59" s="2">
        <v>3.8</v>
      </c>
      <c r="L59" s="2">
        <v>3.6</v>
      </c>
      <c r="M59" s="2">
        <v>0.46</v>
      </c>
      <c r="N59" s="2">
        <v>5.8000000000000003E-2</v>
      </c>
      <c r="O59" s="2">
        <v>6.2</v>
      </c>
      <c r="P59" s="2">
        <v>3.5000000000000003E-2</v>
      </c>
      <c r="Q59" s="2">
        <v>0.49</v>
      </c>
    </row>
    <row r="60" spans="1:17" x14ac:dyDescent="0.25">
      <c r="A60" t="s">
        <v>303</v>
      </c>
      <c r="B60">
        <v>0.22059999999999999</v>
      </c>
      <c r="C60" s="1" t="s">
        <v>56</v>
      </c>
      <c r="E60" s="2">
        <v>13</v>
      </c>
      <c r="F60" s="2">
        <v>4.4999999999999998E-2</v>
      </c>
      <c r="G60" s="2">
        <v>1.1000000000000001</v>
      </c>
      <c r="H60" s="2">
        <v>7.3999999999999996E-2</v>
      </c>
      <c r="I60" s="2">
        <v>0.79</v>
      </c>
      <c r="J60" s="2">
        <v>0.99</v>
      </c>
      <c r="K60" s="2">
        <v>3.9</v>
      </c>
      <c r="L60" s="2">
        <v>4.8</v>
      </c>
      <c r="M60" s="2">
        <v>0.68</v>
      </c>
      <c r="N60" s="2">
        <v>3.3000000000000002E-2</v>
      </c>
      <c r="O60" s="2">
        <v>5.6</v>
      </c>
      <c r="P60" s="2">
        <v>2.9000000000000001E-2</v>
      </c>
      <c r="Q60" s="2">
        <v>0.26</v>
      </c>
    </row>
    <row r="61" spans="1:17" x14ac:dyDescent="0.25">
      <c r="A61" t="s">
        <v>304</v>
      </c>
      <c r="B61">
        <v>0.27329999999999999</v>
      </c>
      <c r="C61" s="1" t="s">
        <v>57</v>
      </c>
      <c r="E61" s="2">
        <v>8.1999999999999993</v>
      </c>
      <c r="F61" s="2">
        <v>4.3999999999999997E-2</v>
      </c>
      <c r="G61" s="5">
        <v>1</v>
      </c>
      <c r="H61" s="2">
        <v>6.4000000000000001E-2</v>
      </c>
      <c r="I61" s="2">
        <v>0.81</v>
      </c>
      <c r="J61" s="2">
        <v>0.99</v>
      </c>
      <c r="K61" s="2">
        <v>4.5</v>
      </c>
      <c r="L61" s="2">
        <v>3.3</v>
      </c>
      <c r="M61" s="2">
        <v>1.2</v>
      </c>
      <c r="N61" s="4">
        <v>0.02</v>
      </c>
      <c r="O61" s="2">
        <v>5.5</v>
      </c>
      <c r="P61" s="2">
        <v>2.3E-2</v>
      </c>
      <c r="Q61" s="3">
        <v>0.1</v>
      </c>
    </row>
    <row r="62" spans="1:17" x14ac:dyDescent="0.25">
      <c r="A62" t="s">
        <v>305</v>
      </c>
      <c r="B62">
        <v>0.21740000000000001</v>
      </c>
      <c r="C62" s="1" t="s">
        <v>58</v>
      </c>
      <c r="E62" s="2">
        <v>11</v>
      </c>
      <c r="F62" s="2">
        <v>2.5000000000000001E-2</v>
      </c>
      <c r="G62" s="2">
        <v>1.6</v>
      </c>
      <c r="H62" s="2">
        <v>0.17</v>
      </c>
      <c r="I62" s="2">
        <v>1.8</v>
      </c>
      <c r="J62" s="2">
        <v>1.1000000000000001</v>
      </c>
      <c r="K62" s="2">
        <v>6.8</v>
      </c>
      <c r="L62" s="2">
        <v>4.0999999999999996</v>
      </c>
      <c r="M62" s="2">
        <v>0.71</v>
      </c>
      <c r="N62" s="2">
        <v>3.1E-2</v>
      </c>
      <c r="O62" s="2">
        <v>4.9000000000000004</v>
      </c>
      <c r="P62" s="4">
        <v>0.04</v>
      </c>
      <c r="Q62" s="2">
        <v>0.17</v>
      </c>
    </row>
    <row r="63" spans="1:17" x14ac:dyDescent="0.25">
      <c r="A63" t="s">
        <v>306</v>
      </c>
      <c r="B63">
        <v>0.2762</v>
      </c>
      <c r="C63" s="1" t="s">
        <v>59</v>
      </c>
      <c r="E63" s="2">
        <v>9.1999999999999993</v>
      </c>
      <c r="F63" s="2">
        <v>6.8000000000000005E-2</v>
      </c>
      <c r="G63" s="5">
        <v>1</v>
      </c>
      <c r="H63" s="2">
        <v>0.13</v>
      </c>
      <c r="I63" s="2">
        <v>1.6</v>
      </c>
      <c r="J63" s="2">
        <v>0.98</v>
      </c>
      <c r="K63" s="2">
        <v>4.5</v>
      </c>
      <c r="L63" s="2">
        <v>5.0999999999999996</v>
      </c>
      <c r="M63" s="2">
        <v>1.1000000000000001</v>
      </c>
      <c r="N63" s="2">
        <v>3.5999999999999997E-2</v>
      </c>
      <c r="O63" s="2">
        <v>6.3</v>
      </c>
      <c r="P63" s="2">
        <v>7.2999999999999995E-2</v>
      </c>
      <c r="Q63" s="2">
        <v>9.0999999999999998E-2</v>
      </c>
    </row>
    <row r="64" spans="1:17" x14ac:dyDescent="0.25">
      <c r="A64" t="s">
        <v>307</v>
      </c>
      <c r="B64">
        <v>0.23569999999999999</v>
      </c>
      <c r="C64" s="1" t="s">
        <v>60</v>
      </c>
      <c r="E64" s="2">
        <v>9.8000000000000007</v>
      </c>
      <c r="F64" s="2">
        <v>4.2999999999999997E-2</v>
      </c>
      <c r="G64" s="2">
        <v>0.85</v>
      </c>
      <c r="H64" s="2">
        <v>0.22</v>
      </c>
      <c r="I64" s="2">
        <v>0.88</v>
      </c>
      <c r="J64" s="5">
        <v>1</v>
      </c>
      <c r="K64" s="2">
        <v>4.5999999999999996</v>
      </c>
      <c r="L64" s="2">
        <v>4.5</v>
      </c>
      <c r="M64" s="3">
        <v>0.5</v>
      </c>
      <c r="N64" s="4">
        <v>0.08</v>
      </c>
      <c r="O64" s="2">
        <v>7.8</v>
      </c>
      <c r="P64" s="4">
        <v>0.05</v>
      </c>
      <c r="Q64" s="3">
        <v>0.1</v>
      </c>
    </row>
    <row r="65" spans="1:17" x14ac:dyDescent="0.25">
      <c r="A65" t="s">
        <v>308</v>
      </c>
      <c r="B65">
        <v>0.25679999999999997</v>
      </c>
      <c r="C65" s="1" t="s">
        <v>61</v>
      </c>
      <c r="E65" s="2">
        <v>8.6</v>
      </c>
      <c r="F65" s="2">
        <v>5.3999999999999999E-2</v>
      </c>
      <c r="G65" s="2">
        <v>0.88</v>
      </c>
      <c r="H65" s="2">
        <v>0.14000000000000001</v>
      </c>
      <c r="I65" s="5">
        <v>1</v>
      </c>
      <c r="J65" s="2">
        <v>0.95</v>
      </c>
      <c r="K65" s="2">
        <v>5.2</v>
      </c>
      <c r="L65" s="2">
        <v>3.4</v>
      </c>
      <c r="M65" s="2">
        <v>0.42</v>
      </c>
      <c r="N65" s="2">
        <v>2.3E-2</v>
      </c>
      <c r="O65" s="2">
        <v>7.1</v>
      </c>
      <c r="P65" s="2">
        <v>7.1999999999999995E-2</v>
      </c>
      <c r="Q65" s="2">
        <v>7.4999999999999997E-2</v>
      </c>
    </row>
    <row r="66" spans="1:17" x14ac:dyDescent="0.25">
      <c r="A66" t="s">
        <v>309</v>
      </c>
      <c r="B66">
        <v>0.2626</v>
      </c>
      <c r="C66" s="1" t="s">
        <v>62</v>
      </c>
      <c r="E66" s="2">
        <v>12</v>
      </c>
      <c r="F66" s="2">
        <v>6.7000000000000004E-2</v>
      </c>
      <c r="G66" s="2">
        <v>1.3</v>
      </c>
      <c r="H66" s="2">
        <v>0.31</v>
      </c>
      <c r="I66" s="2">
        <v>1.5</v>
      </c>
      <c r="J66" s="2">
        <v>1.2</v>
      </c>
      <c r="K66" s="2">
        <v>5.4</v>
      </c>
      <c r="L66" s="2">
        <v>6.6</v>
      </c>
      <c r="M66" s="2">
        <v>2.2999999999999998</v>
      </c>
      <c r="N66" s="2">
        <v>3.5999999999999997E-2</v>
      </c>
      <c r="O66" s="2">
        <v>7.5</v>
      </c>
      <c r="P66" s="4">
        <v>0.06</v>
      </c>
      <c r="Q66" s="2">
        <v>8.3000000000000004E-2</v>
      </c>
    </row>
    <row r="67" spans="1:17" x14ac:dyDescent="0.25">
      <c r="A67" t="s">
        <v>310</v>
      </c>
      <c r="B67">
        <v>0.23760000000000001</v>
      </c>
      <c r="C67" s="1" t="s">
        <v>63</v>
      </c>
      <c r="E67" s="2">
        <v>18</v>
      </c>
      <c r="F67" s="2">
        <v>5.2999999999999999E-2</v>
      </c>
      <c r="G67" s="2">
        <v>1.6</v>
      </c>
      <c r="H67" s="2">
        <v>0.19</v>
      </c>
      <c r="I67" s="2">
        <v>1.7</v>
      </c>
      <c r="J67" s="2">
        <v>1.3</v>
      </c>
      <c r="K67" s="2">
        <v>5.6</v>
      </c>
      <c r="L67" s="2">
        <v>5.9</v>
      </c>
      <c r="M67" s="2">
        <v>0.99</v>
      </c>
      <c r="N67" s="2">
        <v>3.3000000000000002E-2</v>
      </c>
      <c r="O67" s="2">
        <v>7.5</v>
      </c>
      <c r="P67" s="2">
        <v>5.2999999999999999E-2</v>
      </c>
      <c r="Q67" s="2">
        <v>0.14000000000000001</v>
      </c>
    </row>
    <row r="68" spans="1:17" x14ac:dyDescent="0.25">
      <c r="A68" t="s">
        <v>311</v>
      </c>
      <c r="B68">
        <v>0.28029999999999999</v>
      </c>
      <c r="C68" s="1" t="s">
        <v>64</v>
      </c>
      <c r="E68" s="2">
        <v>14</v>
      </c>
      <c r="F68" s="3">
        <v>0.1</v>
      </c>
      <c r="G68" s="5">
        <v>1</v>
      </c>
      <c r="H68" s="2">
        <v>0.15</v>
      </c>
      <c r="I68" s="2">
        <v>1.5</v>
      </c>
      <c r="J68" s="2">
        <v>1.3</v>
      </c>
      <c r="K68" s="2">
        <v>6.6</v>
      </c>
      <c r="L68" s="2">
        <v>4.3</v>
      </c>
      <c r="M68" s="2">
        <v>1.2</v>
      </c>
      <c r="N68" s="2">
        <v>3.6999999999999998E-2</v>
      </c>
      <c r="O68" s="5">
        <v>8</v>
      </c>
      <c r="P68" s="2">
        <v>7.4999999999999997E-2</v>
      </c>
      <c r="Q68" s="2">
        <v>0.28000000000000003</v>
      </c>
    </row>
    <row r="69" spans="1:17" x14ac:dyDescent="0.25">
      <c r="A69" t="s">
        <v>312</v>
      </c>
      <c r="B69">
        <v>0.24979999999999999</v>
      </c>
      <c r="C69" s="1" t="s">
        <v>65</v>
      </c>
      <c r="E69" s="2">
        <v>13</v>
      </c>
      <c r="F69" s="2">
        <v>3.2000000000000001E-2</v>
      </c>
      <c r="G69" s="2">
        <v>1.2</v>
      </c>
      <c r="H69" s="2">
        <v>0.14000000000000001</v>
      </c>
      <c r="I69" s="2">
        <v>1.5</v>
      </c>
      <c r="J69" s="2">
        <v>1.2</v>
      </c>
      <c r="K69" s="2">
        <v>5.0999999999999996</v>
      </c>
      <c r="L69" s="2">
        <v>4.5999999999999996</v>
      </c>
      <c r="M69" s="3">
        <v>0.9</v>
      </c>
      <c r="N69" s="4">
        <v>0.03</v>
      </c>
      <c r="O69" s="2">
        <v>8.1</v>
      </c>
      <c r="P69" s="2">
        <v>5.7000000000000002E-2</v>
      </c>
      <c r="Q69" s="2">
        <v>0.15</v>
      </c>
    </row>
    <row r="70" spans="1:17" x14ac:dyDescent="0.25">
      <c r="A70" t="s">
        <v>313</v>
      </c>
      <c r="B70">
        <v>0.23469999999999999</v>
      </c>
      <c r="C70" s="1" t="s">
        <v>314</v>
      </c>
      <c r="E70" s="2">
        <v>2.5</v>
      </c>
      <c r="F70" s="2">
        <v>3.3000000000000002E-2</v>
      </c>
      <c r="G70" s="2">
        <v>0.34</v>
      </c>
      <c r="H70" s="2">
        <v>0.11</v>
      </c>
      <c r="I70" s="2">
        <v>0.47</v>
      </c>
      <c r="J70" s="2">
        <v>0.93</v>
      </c>
      <c r="K70" s="2">
        <v>1.2</v>
      </c>
      <c r="L70" s="2">
        <v>0.94</v>
      </c>
      <c r="M70" s="2">
        <v>5.8000000000000003E-2</v>
      </c>
      <c r="N70" s="2">
        <v>0.13</v>
      </c>
      <c r="O70" s="2">
        <v>3.5</v>
      </c>
      <c r="P70" s="4">
        <v>0.03</v>
      </c>
      <c r="Q70" s="3">
        <v>0.7</v>
      </c>
    </row>
    <row r="71" spans="1:17" x14ac:dyDescent="0.25">
      <c r="A71" t="s">
        <v>315</v>
      </c>
      <c r="B71">
        <v>0.2215</v>
      </c>
      <c r="C71" s="1" t="s">
        <v>316</v>
      </c>
      <c r="E71" s="2">
        <v>2.2999999999999998</v>
      </c>
      <c r="F71" s="2">
        <v>3.4000000000000002E-2</v>
      </c>
      <c r="G71" s="2">
        <v>0.33</v>
      </c>
      <c r="H71" s="2">
        <v>9.1999999999999998E-2</v>
      </c>
      <c r="I71" s="2">
        <v>0.46</v>
      </c>
      <c r="J71" s="2">
        <v>0.88</v>
      </c>
      <c r="K71" s="2">
        <v>1.1000000000000001</v>
      </c>
      <c r="L71" s="2">
        <v>0.84</v>
      </c>
      <c r="M71" s="2">
        <v>6.0999999999999999E-2</v>
      </c>
      <c r="N71" s="2">
        <v>0.11</v>
      </c>
      <c r="O71" s="2">
        <v>3.3</v>
      </c>
      <c r="P71" s="2">
        <v>2.7E-2</v>
      </c>
      <c r="Q71" s="2">
        <v>0.61</v>
      </c>
    </row>
    <row r="72" spans="1:17" x14ac:dyDescent="0.25">
      <c r="A72" t="s">
        <v>317</v>
      </c>
      <c r="B72">
        <v>0.22</v>
      </c>
      <c r="C72" s="1" t="s">
        <v>318</v>
      </c>
      <c r="E72" s="2">
        <v>2.9</v>
      </c>
      <c r="F72" s="2">
        <v>3.4000000000000002E-2</v>
      </c>
      <c r="G72" s="2">
        <v>1.2</v>
      </c>
      <c r="H72" s="4">
        <v>0.01</v>
      </c>
      <c r="I72" s="2">
        <v>1.1000000000000001</v>
      </c>
      <c r="J72" s="2">
        <v>1.5</v>
      </c>
      <c r="K72" s="2">
        <v>9.1</v>
      </c>
      <c r="L72" s="2">
        <v>1.2</v>
      </c>
      <c r="M72" s="2">
        <v>8.2000000000000003E-2</v>
      </c>
      <c r="N72" s="4">
        <v>0.04</v>
      </c>
      <c r="O72" s="5">
        <v>6</v>
      </c>
      <c r="P72" s="4">
        <v>0.03</v>
      </c>
      <c r="Q72" s="2">
        <v>0.61</v>
      </c>
    </row>
    <row r="73" spans="1:17" x14ac:dyDescent="0.25">
      <c r="A73" t="s">
        <v>319</v>
      </c>
      <c r="B73">
        <v>0.21099999999999999</v>
      </c>
      <c r="C73" s="1" t="s">
        <v>320</v>
      </c>
      <c r="E73" s="2">
        <v>2.9</v>
      </c>
      <c r="F73" s="2">
        <v>3.3000000000000002E-2</v>
      </c>
      <c r="G73" s="2">
        <v>1.2</v>
      </c>
      <c r="H73" s="4">
        <v>0.01</v>
      </c>
      <c r="I73" s="2">
        <v>1.1000000000000001</v>
      </c>
      <c r="J73" s="2">
        <v>1.6</v>
      </c>
      <c r="K73" s="2">
        <v>9.1</v>
      </c>
      <c r="L73" s="2">
        <v>1.2</v>
      </c>
      <c r="M73" s="2">
        <v>8.2000000000000003E-2</v>
      </c>
      <c r="N73" s="2">
        <v>3.9E-2</v>
      </c>
      <c r="O73" s="2">
        <v>5.9</v>
      </c>
      <c r="P73" s="4">
        <v>0.03</v>
      </c>
      <c r="Q73" s="2">
        <v>0.63</v>
      </c>
    </row>
    <row r="74" spans="1:17" x14ac:dyDescent="0.25">
      <c r="A74" t="s">
        <v>321</v>
      </c>
      <c r="B74">
        <v>0.2263</v>
      </c>
      <c r="C74" s="1" t="s">
        <v>322</v>
      </c>
      <c r="E74" s="2">
        <v>19</v>
      </c>
      <c r="F74" s="3">
        <v>0.2</v>
      </c>
      <c r="G74" s="2">
        <v>6.6</v>
      </c>
      <c r="H74" s="3">
        <v>0.2</v>
      </c>
      <c r="I74" s="2">
        <v>3.6</v>
      </c>
      <c r="J74" s="2">
        <v>2.5</v>
      </c>
      <c r="K74" s="2">
        <v>17</v>
      </c>
      <c r="L74" s="2">
        <v>23</v>
      </c>
      <c r="M74" s="2">
        <v>0.11</v>
      </c>
      <c r="N74" s="2">
        <v>4.9000000000000002E-2</v>
      </c>
      <c r="O74" s="2">
        <v>6.4</v>
      </c>
      <c r="P74" s="4">
        <v>0.03</v>
      </c>
      <c r="Q74" s="2">
        <v>0.11</v>
      </c>
    </row>
    <row r="75" spans="1:17" x14ac:dyDescent="0.25">
      <c r="A75" t="s">
        <v>323</v>
      </c>
      <c r="B75">
        <v>0.30120000000000002</v>
      </c>
      <c r="C75" s="1" t="s">
        <v>324</v>
      </c>
      <c r="E75" s="2">
        <v>20</v>
      </c>
      <c r="F75" s="2">
        <v>0.21</v>
      </c>
      <c r="G75" s="2">
        <v>6.6</v>
      </c>
      <c r="H75" s="2">
        <v>0.21</v>
      </c>
      <c r="I75" s="2">
        <v>3.7</v>
      </c>
      <c r="J75" s="2">
        <v>2.4</v>
      </c>
      <c r="K75" s="2">
        <v>17</v>
      </c>
      <c r="L75" s="2">
        <v>23</v>
      </c>
      <c r="M75" s="2">
        <v>0.12</v>
      </c>
      <c r="N75" s="2">
        <v>0.05</v>
      </c>
      <c r="O75" s="2">
        <v>6.5</v>
      </c>
      <c r="P75" s="2">
        <v>3.1E-2</v>
      </c>
      <c r="Q75" s="2">
        <v>0.11</v>
      </c>
    </row>
    <row r="76" spans="1:17" x14ac:dyDescent="0.25">
      <c r="A76" t="s">
        <v>325</v>
      </c>
      <c r="B76">
        <v>0.26939999999999997</v>
      </c>
      <c r="C76" s="1" t="s">
        <v>326</v>
      </c>
      <c r="E76" s="2">
        <v>8.8000000000000007</v>
      </c>
      <c r="F76" s="2">
        <v>5.6000000000000001E-2</v>
      </c>
      <c r="G76" s="2">
        <v>0.84</v>
      </c>
      <c r="H76" s="2">
        <v>0.14000000000000001</v>
      </c>
      <c r="I76" s="5">
        <v>1</v>
      </c>
      <c r="J76" s="2">
        <v>0.94</v>
      </c>
      <c r="K76" s="2">
        <v>5.4</v>
      </c>
      <c r="L76" s="2">
        <v>3.3</v>
      </c>
      <c r="M76" s="2">
        <v>0.43</v>
      </c>
      <c r="N76" s="2">
        <v>2.3E-2</v>
      </c>
      <c r="O76" s="2">
        <v>7.1</v>
      </c>
      <c r="P76" s="2">
        <v>7.1999999999999995E-2</v>
      </c>
      <c r="Q76" s="2">
        <v>7.9000000000000001E-2</v>
      </c>
    </row>
    <row r="77" spans="1:17" x14ac:dyDescent="0.25">
      <c r="A77" t="s">
        <v>327</v>
      </c>
      <c r="B77">
        <v>0.27029999999999998</v>
      </c>
      <c r="C77" s="1" t="s">
        <v>326</v>
      </c>
      <c r="E77" s="2">
        <v>8.1999999999999993</v>
      </c>
      <c r="F77" s="2">
        <v>5.5E-2</v>
      </c>
      <c r="G77" s="2">
        <v>0.81</v>
      </c>
      <c r="H77" s="2">
        <v>0.13</v>
      </c>
      <c r="I77" s="5">
        <v>1</v>
      </c>
      <c r="J77" s="2">
        <v>0.9</v>
      </c>
      <c r="K77" s="2">
        <v>5.3</v>
      </c>
      <c r="L77" s="5">
        <v>3</v>
      </c>
      <c r="M77" s="2">
        <v>0.39</v>
      </c>
      <c r="N77" s="2">
        <v>2.1000000000000001E-2</v>
      </c>
      <c r="O77" s="2">
        <v>7.4</v>
      </c>
      <c r="P77" s="2">
        <v>6.9000000000000006E-2</v>
      </c>
      <c r="Q77" s="2">
        <v>7.6999999999999999E-2</v>
      </c>
    </row>
    <row r="78" spans="1:17" x14ac:dyDescent="0.25">
      <c r="A78" t="s">
        <v>328</v>
      </c>
      <c r="B78" s="15">
        <v>0.20140799999999998</v>
      </c>
      <c r="C78" s="1" t="s">
        <v>329</v>
      </c>
      <c r="E78" s="16">
        <v>11</v>
      </c>
      <c r="F78" s="16">
        <v>1.6E-2</v>
      </c>
      <c r="G78" s="16">
        <v>1.4</v>
      </c>
      <c r="H78" s="16">
        <v>1.1000000000000001</v>
      </c>
      <c r="I78" s="16">
        <v>2.7</v>
      </c>
      <c r="J78" s="16">
        <v>2.4</v>
      </c>
      <c r="K78" s="16">
        <v>14</v>
      </c>
      <c r="L78" s="16">
        <v>3.3</v>
      </c>
      <c r="M78" s="16">
        <v>1.2</v>
      </c>
      <c r="N78" s="17">
        <v>0.23</v>
      </c>
      <c r="O78" s="16">
        <v>14</v>
      </c>
      <c r="P78" s="16">
        <v>2.8000000000000001E-2</v>
      </c>
      <c r="Q78" s="16">
        <v>4.5999999999999999E-2</v>
      </c>
    </row>
    <row r="79" spans="1:17" x14ac:dyDescent="0.25">
      <c r="A79" t="s">
        <v>330</v>
      </c>
      <c r="B79" s="15">
        <v>0.19930999999999999</v>
      </c>
      <c r="C79" s="1" t="s">
        <v>331</v>
      </c>
      <c r="E79" s="16">
        <v>42</v>
      </c>
      <c r="F79" s="16">
        <v>20</v>
      </c>
      <c r="G79" s="16">
        <v>4.9000000000000004</v>
      </c>
      <c r="H79" s="16">
        <v>1.8</v>
      </c>
      <c r="I79" s="18">
        <v>1</v>
      </c>
      <c r="J79" s="16">
        <v>7.3</v>
      </c>
      <c r="K79" s="19">
        <v>9.8000000000000007</v>
      </c>
      <c r="L79" s="16">
        <v>17</v>
      </c>
      <c r="M79" s="16">
        <v>6.6000000000000003E-2</v>
      </c>
      <c r="N79" s="16">
        <v>1.1000000000000001</v>
      </c>
      <c r="O79" s="16">
        <v>6.7</v>
      </c>
      <c r="P79" s="17">
        <v>6.0999999999999999E-2</v>
      </c>
      <c r="Q79" s="16">
        <v>0.32</v>
      </c>
    </row>
    <row r="80" spans="1:17" x14ac:dyDescent="0.25">
      <c r="C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Setesdal biomass and analysis</vt:lpstr>
      <vt:lpstr>Rekvisisjon 26-006 CNH</vt:lpstr>
      <vt:lpstr>Rekvisisjon 26-006 tot-elements</vt:lpstr>
    </vt:vector>
  </TitlesOfParts>
  <Company>NMBU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Line Tau Strand</dc:creator>
  <cp:lastModifiedBy>James D. M. Speed</cp:lastModifiedBy>
  <dcterms:created xsi:type="dcterms:W3CDTF">2026-04-21T10:45:46Z</dcterms:created>
  <dcterms:modified xsi:type="dcterms:W3CDTF">2026-04-29T10:24:10Z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2026-04-21T11:43:51Z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14639fbd-39ee-4d77-a6aa-7ba2481bc2d0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