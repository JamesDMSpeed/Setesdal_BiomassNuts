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ntnu-my.sharepoint.com/personal/speed_ntnu_no/Documents/ScandGraze/Setesdal_BiomassNuts/data/"/>
    </mc:Choice>
  </mc:AlternateContent>
  <xr:revisionPtr revIDLastSave="2" documentId="13_ncr:1_{7B1AB0F3-A952-0C4F-AE10-169A02DD808C}" xr6:coauthVersionLast="47" xr6:coauthVersionMax="47" xr10:uidLastSave="{FE4E49B7-878B-4364-95FF-C1EC90466887}"/>
  <bookViews>
    <workbookView xWindow="0" yWindow="0" windowWidth="19410" windowHeight="15120" xr2:uid="{76565272-F87C-1D43-9BA6-FD3248353A96}"/>
  </bookViews>
  <sheets>
    <sheet name="dry_final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G5" i="1"/>
  <c r="J5" i="1"/>
  <c r="I7" i="1"/>
  <c r="J7" i="1"/>
  <c r="G8" i="1"/>
  <c r="H8" i="1"/>
  <c r="G9" i="1"/>
  <c r="H9" i="1"/>
  <c r="I9" i="1"/>
  <c r="G11" i="1"/>
  <c r="J11" i="1"/>
  <c r="G12" i="1"/>
  <c r="J12" i="1"/>
  <c r="G14" i="1"/>
  <c r="J14" i="1"/>
  <c r="G16" i="1"/>
  <c r="J16" i="1"/>
  <c r="H17" i="1"/>
  <c r="G18" i="1"/>
  <c r="H18" i="1"/>
  <c r="J18" i="1"/>
  <c r="G19" i="1"/>
  <c r="H19" i="1"/>
  <c r="G20" i="1"/>
  <c r="G21" i="1"/>
  <c r="H21" i="1"/>
  <c r="G22" i="1"/>
  <c r="H22" i="1"/>
  <c r="G23" i="1"/>
  <c r="J23" i="1"/>
  <c r="G24" i="1"/>
  <c r="H24" i="1"/>
  <c r="G25" i="1"/>
  <c r="H25" i="1"/>
  <c r="J25" i="1"/>
  <c r="G26" i="1"/>
  <c r="H26" i="1"/>
  <c r="G27" i="1"/>
  <c r="H27" i="1"/>
  <c r="G28" i="1"/>
  <c r="H28" i="1"/>
  <c r="G29" i="1"/>
  <c r="H29" i="1"/>
  <c r="G30" i="1"/>
  <c r="G31" i="1"/>
  <c r="H31" i="1"/>
  <c r="J31" i="1"/>
  <c r="G32" i="1"/>
  <c r="H32" i="1"/>
  <c r="J32" i="1"/>
  <c r="G33" i="1"/>
  <c r="G34" i="1"/>
  <c r="H34" i="1"/>
  <c r="J34" i="1"/>
  <c r="G36" i="1"/>
  <c r="H36" i="1"/>
  <c r="G37" i="1"/>
  <c r="H37" i="1"/>
  <c r="G40" i="1"/>
  <c r="H40" i="1"/>
  <c r="G41" i="1"/>
  <c r="G42" i="1"/>
  <c r="H42" i="1"/>
  <c r="J42" i="1"/>
  <c r="G43" i="1"/>
  <c r="H43" i="1"/>
  <c r="J43" i="1"/>
  <c r="G44" i="1"/>
  <c r="G45" i="1"/>
  <c r="H45" i="1"/>
  <c r="J45" i="1"/>
  <c r="G46" i="1"/>
  <c r="H46" i="1"/>
  <c r="J46" i="1"/>
  <c r="G47" i="1"/>
  <c r="H47" i="1"/>
  <c r="G48" i="1"/>
  <c r="H48" i="1"/>
  <c r="H49" i="1"/>
  <c r="H50" i="1"/>
  <c r="G52" i="1"/>
  <c r="H53" i="1"/>
  <c r="H54" i="1"/>
  <c r="H55" i="1"/>
  <c r="I55" i="1"/>
  <c r="G56" i="1"/>
  <c r="H56" i="1"/>
  <c r="G57" i="1"/>
  <c r="H57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</calcChain>
</file>

<file path=xl/sharedStrings.xml><?xml version="1.0" encoding="utf-8"?>
<sst xmlns="http://schemas.openxmlformats.org/spreadsheetml/2006/main" count="300" uniqueCount="29">
  <si>
    <t>NG</t>
  </si>
  <si>
    <t>Mainland</t>
  </si>
  <si>
    <t>M10</t>
  </si>
  <si>
    <t>G</t>
  </si>
  <si>
    <t>M9</t>
  </si>
  <si>
    <t>M7</t>
  </si>
  <si>
    <t>M3</t>
  </si>
  <si>
    <t>M2</t>
  </si>
  <si>
    <t>disturbed (fence out)</t>
  </si>
  <si>
    <t>M1</t>
  </si>
  <si>
    <t xml:space="preserve">G </t>
  </si>
  <si>
    <t>Island</t>
  </si>
  <si>
    <t>Bukøyna</t>
  </si>
  <si>
    <t>I4</t>
  </si>
  <si>
    <t>Madagask</t>
  </si>
  <si>
    <t>I2</t>
  </si>
  <si>
    <t>Håhellervatnet</t>
  </si>
  <si>
    <t>I1</t>
  </si>
  <si>
    <t>Notes</t>
  </si>
  <si>
    <t>Dwarf_Shrub</t>
  </si>
  <si>
    <t>Herbs</t>
  </si>
  <si>
    <t>Graminoids</t>
  </si>
  <si>
    <t>Litter_Bio</t>
  </si>
  <si>
    <t>Date</t>
  </si>
  <si>
    <t>G/NG</t>
  </si>
  <si>
    <t>Treatment</t>
  </si>
  <si>
    <t>Plot</t>
  </si>
  <si>
    <t>Name</t>
  </si>
  <si>
    <t>Site_id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</si>
</sst>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1F0C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17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7" fontId="1" fillId="0" borderId="0" xfId="0" applyNumberFormat="1" applyFont="1"/>
    <xf numFmtId="0" fontId="1" fillId="5" borderId="0" xfId="0" applyFont="1" applyFill="1"/>
    <xf numFmtId="0" fontId="1" fillId="2" borderId="0" xfId="0" applyFont="1" applyFill="1"/>
    <xf numFmtId="0" fontId="1" fillId="6" borderId="0" xfId="0" applyFont="1" applyFill="1"/>
    <xf numFmtId="0" fontId="1" fillId="3" borderId="0" xfId="0" applyFont="1" applyFill="1"/>
    <xf numFmtId="0" fontId="2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886B6-C5AF-0B41-B8E7-35D433120D5A}">
  <dimension ref="A1:K91"/>
  <sheetViews>
    <sheetView tabSelected="1" zoomScale="131" workbookViewId="0">
      <pane ySplit="1" topLeftCell="A2" activePane="bottomLeft" state="frozen"/>
      <selection pane="bottomLeft" activeCell="A12" sqref="A12"/>
    </sheetView>
  </sheetViews>
  <sheetFormatPr defaultColWidth="8.85546875" defaultRowHeight="15" x14ac:dyDescent="0.25"/>
  <cols>
    <col min="2" max="2" width="12" bestFit="1" customWidth="1"/>
    <col min="4" max="5" width="9.85546875" customWidth="1"/>
    <col min="8" max="8" width="11.85546875" customWidth="1"/>
    <col min="10" max="10" width="10.7109375" bestFit="1" customWidth="1"/>
    <col min="11" max="11" width="20.85546875" bestFit="1" customWidth="1"/>
  </cols>
  <sheetData>
    <row r="1" spans="1:11" x14ac:dyDescent="0.25">
      <c r="A1" t="s">
        <v>28</v>
      </c>
      <c r="B1" t="s">
        <v>27</v>
      </c>
      <c r="C1" t="s">
        <v>26</v>
      </c>
      <c r="D1" t="s">
        <v>25</v>
      </c>
      <c r="E1" t="s">
        <v>24</v>
      </c>
      <c r="F1" t="s">
        <v>23</v>
      </c>
      <c r="G1" t="s">
        <v>22</v>
      </c>
      <c r="H1" t="s">
        <v>21</v>
      </c>
      <c r="I1" t="s">
        <v>20</v>
      </c>
      <c r="J1" t="s">
        <v>19</v>
      </c>
      <c r="K1" t="s">
        <v>18</v>
      </c>
    </row>
    <row r="2" spans="1:11" x14ac:dyDescent="0.25">
      <c r="A2" t="s">
        <v>17</v>
      </c>
      <c r="B2" t="s">
        <v>16</v>
      </c>
      <c r="C2">
        <v>1</v>
      </c>
      <c r="D2" t="s">
        <v>11</v>
      </c>
      <c r="E2" t="s">
        <v>0</v>
      </c>
      <c r="F2" s="8">
        <v>45809</v>
      </c>
      <c r="G2" s="13">
        <v>32.32</v>
      </c>
      <c r="H2" s="10">
        <v>14.61</v>
      </c>
      <c r="I2" s="10">
        <v>5.5883000000000003</v>
      </c>
      <c r="J2" s="10">
        <f xml:space="preserve"> 10.22 + 13.76</f>
        <v>23.98</v>
      </c>
    </row>
    <row r="3" spans="1:11" x14ac:dyDescent="0.25">
      <c r="A3" t="s">
        <v>17</v>
      </c>
      <c r="B3" t="s">
        <v>16</v>
      </c>
      <c r="C3">
        <v>2</v>
      </c>
      <c r="D3" t="s">
        <v>11</v>
      </c>
      <c r="E3" t="s">
        <v>0</v>
      </c>
      <c r="F3" s="8">
        <v>45809</v>
      </c>
      <c r="G3" s="9">
        <v>14.5</v>
      </c>
      <c r="H3" s="9">
        <v>8.9817999999999998</v>
      </c>
      <c r="I3" s="9">
        <v>0.80879999999999996</v>
      </c>
      <c r="J3" s="9">
        <v>13.92</v>
      </c>
    </row>
    <row r="4" spans="1:11" x14ac:dyDescent="0.25">
      <c r="A4" t="s">
        <v>17</v>
      </c>
      <c r="B4" t="s">
        <v>16</v>
      </c>
      <c r="C4">
        <v>3</v>
      </c>
      <c r="D4" t="s">
        <v>11</v>
      </c>
      <c r="E4" t="s">
        <v>0</v>
      </c>
      <c r="F4" s="8">
        <v>45809</v>
      </c>
      <c r="G4" s="7">
        <v>5.5864000000000003</v>
      </c>
      <c r="H4" s="7">
        <v>5.2765000000000004</v>
      </c>
      <c r="I4" s="7">
        <v>13.42</v>
      </c>
      <c r="J4" s="7">
        <v>19.989999999999998</v>
      </c>
    </row>
    <row r="5" spans="1:11" x14ac:dyDescent="0.25">
      <c r="A5" t="s">
        <v>15</v>
      </c>
      <c r="B5" t="s">
        <v>14</v>
      </c>
      <c r="C5">
        <v>1</v>
      </c>
      <c r="D5" t="s">
        <v>11</v>
      </c>
      <c r="E5" t="s">
        <v>0</v>
      </c>
      <c r="F5" s="8">
        <v>45809</v>
      </c>
      <c r="G5" s="9">
        <f xml:space="preserve"> 10.73 +  0.2 * 12.9</f>
        <v>13.31</v>
      </c>
      <c r="H5" s="9">
        <v>15.79</v>
      </c>
      <c r="I5" s="9">
        <v>1.5422</v>
      </c>
      <c r="J5" s="9">
        <f xml:space="preserve"> 13.07 + 0.8 * 12.9</f>
        <v>23.39</v>
      </c>
    </row>
    <row r="6" spans="1:11" x14ac:dyDescent="0.25">
      <c r="A6" t="s">
        <v>15</v>
      </c>
      <c r="B6" t="s">
        <v>14</v>
      </c>
      <c r="C6">
        <v>2</v>
      </c>
      <c r="D6" t="s">
        <v>11</v>
      </c>
      <c r="E6" t="s">
        <v>0</v>
      </c>
      <c r="F6" s="8">
        <v>45809</v>
      </c>
      <c r="G6" s="10">
        <v>7.2999000000000001</v>
      </c>
      <c r="H6" s="10">
        <v>2.109</v>
      </c>
      <c r="I6" s="10">
        <v>36.08</v>
      </c>
      <c r="J6" s="10">
        <v>5.3723999999999998</v>
      </c>
    </row>
    <row r="7" spans="1:11" x14ac:dyDescent="0.25">
      <c r="A7" t="s">
        <v>15</v>
      </c>
      <c r="B7" t="s">
        <v>14</v>
      </c>
      <c r="C7">
        <v>3</v>
      </c>
      <c r="D7" t="s">
        <v>11</v>
      </c>
      <c r="E7" t="s">
        <v>0</v>
      </c>
      <c r="F7" s="8">
        <v>45809</v>
      </c>
      <c r="G7" s="12">
        <v>15.43</v>
      </c>
      <c r="H7" s="12">
        <v>2.1171000000000002</v>
      </c>
      <c r="I7" s="12">
        <f xml:space="preserve"> 11.06 + 14.15</f>
        <v>25.21</v>
      </c>
      <c r="J7" s="12">
        <f xml:space="preserve"> 20.52 + 2.332</f>
        <v>22.852</v>
      </c>
    </row>
    <row r="8" spans="1:11" x14ac:dyDescent="0.25">
      <c r="A8" t="s">
        <v>13</v>
      </c>
      <c r="B8" t="s">
        <v>12</v>
      </c>
      <c r="C8">
        <v>1</v>
      </c>
      <c r="D8" t="s">
        <v>11</v>
      </c>
      <c r="E8" t="s">
        <v>0</v>
      </c>
      <c r="F8" s="8">
        <v>45809</v>
      </c>
      <c r="G8" s="9">
        <f xml:space="preserve"> 3.5633 + 11.44 * 0.3</f>
        <v>6.9953000000000003</v>
      </c>
      <c r="H8" s="9">
        <f xml:space="preserve"> 6.059 + 11.44 * 0.7</f>
        <v>14.067</v>
      </c>
      <c r="I8" s="9">
        <v>1.8092999999999999</v>
      </c>
      <c r="J8" s="9">
        <v>5.1039000000000003</v>
      </c>
    </row>
    <row r="9" spans="1:11" x14ac:dyDescent="0.25">
      <c r="A9" t="s">
        <v>13</v>
      </c>
      <c r="B9" t="s">
        <v>12</v>
      </c>
      <c r="C9">
        <v>2</v>
      </c>
      <c r="D9" t="s">
        <v>11</v>
      </c>
      <c r="E9" t="s">
        <v>0</v>
      </c>
      <c r="F9" s="8">
        <v>45809</v>
      </c>
      <c r="G9" s="7">
        <f xml:space="preserve"> 0.1 * 9.3452 + 1.28</f>
        <v>2.2145200000000003</v>
      </c>
      <c r="H9" s="7">
        <f xml:space="preserve"> 9.3452 * 0.6 + 5.7114</f>
        <v>11.318519999999999</v>
      </c>
      <c r="I9" s="7">
        <f xml:space="preserve"> 9.3452 * 0.3 + 3.2772</f>
        <v>6.0807599999999997</v>
      </c>
      <c r="J9" s="7">
        <v>4.3230000000000004</v>
      </c>
    </row>
    <row r="10" spans="1:11" x14ac:dyDescent="0.25">
      <c r="A10" t="s">
        <v>13</v>
      </c>
      <c r="B10" t="s">
        <v>12</v>
      </c>
      <c r="C10">
        <v>3</v>
      </c>
      <c r="D10" t="s">
        <v>11</v>
      </c>
      <c r="E10" t="s">
        <v>0</v>
      </c>
      <c r="F10" s="8">
        <v>45809</v>
      </c>
      <c r="G10" s="10">
        <v>9.7635000000000005</v>
      </c>
      <c r="H10" s="10">
        <v>5.4660000000000002</v>
      </c>
      <c r="I10" s="10">
        <v>9.3612000000000002</v>
      </c>
      <c r="J10" s="10">
        <v>1.1888000000000001</v>
      </c>
    </row>
    <row r="11" spans="1:11" x14ac:dyDescent="0.25">
      <c r="A11" t="s">
        <v>9</v>
      </c>
      <c r="C11">
        <v>1</v>
      </c>
      <c r="D11" t="s">
        <v>1</v>
      </c>
      <c r="E11" t="s">
        <v>10</v>
      </c>
      <c r="F11" s="8">
        <v>45809</v>
      </c>
      <c r="G11" s="12">
        <f xml:space="preserve"> 0.7 * 22.55 + 13.18</f>
        <v>28.965</v>
      </c>
      <c r="H11" s="12">
        <v>11.23</v>
      </c>
      <c r="I11" s="12">
        <v>5.2900000000000003E-2</v>
      </c>
      <c r="J11" s="12">
        <f xml:space="preserve"> 9.3505 + 22.55*0.3</f>
        <v>16.115500000000001</v>
      </c>
    </row>
    <row r="12" spans="1:11" x14ac:dyDescent="0.25">
      <c r="A12" t="s">
        <v>9</v>
      </c>
      <c r="C12">
        <v>2</v>
      </c>
      <c r="D12" t="s">
        <v>1</v>
      </c>
      <c r="E12" t="s">
        <v>3</v>
      </c>
      <c r="F12" s="8">
        <v>45809</v>
      </c>
      <c r="G12" s="10">
        <f xml:space="preserve"> 4.568 + 0.5 * 35.26</f>
        <v>22.198</v>
      </c>
      <c r="H12" s="10">
        <v>10.28</v>
      </c>
      <c r="I12" s="10">
        <v>1.7100000000000001E-2</v>
      </c>
      <c r="J12" s="10">
        <f xml:space="preserve"> 34.35 + 0.5 * 35.26</f>
        <v>51.980000000000004</v>
      </c>
    </row>
    <row r="13" spans="1:11" x14ac:dyDescent="0.25">
      <c r="A13" t="s">
        <v>9</v>
      </c>
      <c r="C13">
        <v>3</v>
      </c>
      <c r="D13" t="s">
        <v>1</v>
      </c>
      <c r="E13" t="s">
        <v>3</v>
      </c>
      <c r="F13" s="8">
        <v>45809</v>
      </c>
      <c r="G13" s="7">
        <v>30.56</v>
      </c>
      <c r="H13" s="7">
        <v>23.34</v>
      </c>
      <c r="I13" s="7">
        <v>0.25590000000000002</v>
      </c>
      <c r="J13" s="7">
        <v>44.92</v>
      </c>
    </row>
    <row r="14" spans="1:11" x14ac:dyDescent="0.25">
      <c r="A14" t="s">
        <v>9</v>
      </c>
      <c r="C14">
        <v>1</v>
      </c>
      <c r="D14" t="s">
        <v>1</v>
      </c>
      <c r="E14" t="s">
        <v>0</v>
      </c>
      <c r="F14" s="8">
        <v>45809</v>
      </c>
      <c r="G14" s="12">
        <f xml:space="preserve"> 0.5 * 16.31 + 13.03</f>
        <v>21.184999999999999</v>
      </c>
      <c r="H14" s="12">
        <v>7.0084999999999997</v>
      </c>
      <c r="I14" s="12">
        <v>0</v>
      </c>
      <c r="J14" s="12">
        <f xml:space="preserve"> 13.59 + 16.31 * 0.5</f>
        <v>21.744999999999997</v>
      </c>
    </row>
    <row r="15" spans="1:11" x14ac:dyDescent="0.25">
      <c r="A15" t="s">
        <v>9</v>
      </c>
      <c r="C15">
        <v>2</v>
      </c>
      <c r="D15" t="s">
        <v>1</v>
      </c>
      <c r="E15" t="s">
        <v>0</v>
      </c>
      <c r="F15" s="8">
        <v>45809</v>
      </c>
      <c r="G15" s="9">
        <v>6.2201000000000004</v>
      </c>
      <c r="H15" s="9">
        <v>9.5212000000000003</v>
      </c>
      <c r="I15" s="9">
        <v>0</v>
      </c>
      <c r="J15" s="9">
        <v>11.79</v>
      </c>
    </row>
    <row r="16" spans="1:11" x14ac:dyDescent="0.25">
      <c r="A16" t="s">
        <v>9</v>
      </c>
      <c r="C16">
        <v>3</v>
      </c>
      <c r="D16" t="s">
        <v>1</v>
      </c>
      <c r="E16" t="s">
        <v>0</v>
      </c>
      <c r="F16" s="8">
        <v>45809</v>
      </c>
      <c r="G16" s="7">
        <f xml:space="preserve"> 3.7002 + 0.5 * 34.3</f>
        <v>20.850199999999997</v>
      </c>
      <c r="H16" s="7">
        <v>5.1188000000000002</v>
      </c>
      <c r="I16" s="7">
        <v>2.12E-2</v>
      </c>
      <c r="J16" s="7">
        <f xml:space="preserve"> 26.29 + 0.5 * 34.3</f>
        <v>43.44</v>
      </c>
    </row>
    <row r="17" spans="1:10" x14ac:dyDescent="0.25">
      <c r="A17" t="s">
        <v>7</v>
      </c>
      <c r="C17">
        <v>1</v>
      </c>
      <c r="D17" t="s">
        <v>1</v>
      </c>
      <c r="E17" t="s">
        <v>0</v>
      </c>
      <c r="F17" s="8">
        <v>45809</v>
      </c>
      <c r="G17" s="10">
        <v>22.06</v>
      </c>
      <c r="H17" s="10">
        <f xml:space="preserve"> 10.71 + 17.27 + 2.14</f>
        <v>30.12</v>
      </c>
      <c r="I17" s="10">
        <v>1.3485</v>
      </c>
      <c r="J17" s="10">
        <v>1.2262999999999999</v>
      </c>
    </row>
    <row r="18" spans="1:10" x14ac:dyDescent="0.25">
      <c r="A18" t="s">
        <v>7</v>
      </c>
      <c r="C18">
        <v>2</v>
      </c>
      <c r="D18" t="s">
        <v>1</v>
      </c>
      <c r="E18" t="s">
        <v>0</v>
      </c>
      <c r="F18" s="8">
        <v>45809</v>
      </c>
      <c r="G18" s="7">
        <f xml:space="preserve"> 9.26 + (36.14 + 18.7 )* 0.5</f>
        <v>36.68</v>
      </c>
      <c r="H18" s="7">
        <f xml:space="preserve"> 16.2 + (36.14 + 18.7) * 0.3</f>
        <v>32.652000000000001</v>
      </c>
      <c r="I18" s="7">
        <v>0.40129999999999999</v>
      </c>
      <c r="J18" s="7">
        <f xml:space="preserve"> 25.49 + (36.14 + 18.7)* 0.2</f>
        <v>36.457999999999998</v>
      </c>
    </row>
    <row r="19" spans="1:10" x14ac:dyDescent="0.25">
      <c r="A19" t="s">
        <v>7</v>
      </c>
      <c r="C19">
        <v>3</v>
      </c>
      <c r="D19" t="s">
        <v>1</v>
      </c>
      <c r="E19" t="s">
        <v>0</v>
      </c>
      <c r="F19" s="8">
        <v>45809</v>
      </c>
      <c r="G19" s="9">
        <f xml:space="preserve"> 34.89 + 0.5 * 18.14</f>
        <v>43.96</v>
      </c>
      <c r="H19" s="9">
        <f xml:space="preserve"> 28.05 + 0.5 * 18.14</f>
        <v>37.120000000000005</v>
      </c>
      <c r="I19" s="9">
        <v>0.30430000000000001</v>
      </c>
      <c r="J19" s="9">
        <v>1.5476000000000001</v>
      </c>
    </row>
    <row r="20" spans="1:10" x14ac:dyDescent="0.25">
      <c r="A20" t="s">
        <v>7</v>
      </c>
      <c r="C20">
        <v>1</v>
      </c>
      <c r="D20" t="s">
        <v>1</v>
      </c>
      <c r="E20" t="s">
        <v>3</v>
      </c>
      <c r="F20" s="8">
        <v>45809</v>
      </c>
      <c r="G20" s="12">
        <f xml:space="preserve"> 12.55+12.37</f>
        <v>24.92</v>
      </c>
      <c r="H20" s="12">
        <v>23.22</v>
      </c>
      <c r="I20" s="12">
        <v>1.5599999999999999E-2</v>
      </c>
      <c r="J20" s="12">
        <v>7.3129</v>
      </c>
    </row>
    <row r="21" spans="1:10" x14ac:dyDescent="0.25">
      <c r="A21" t="s">
        <v>7</v>
      </c>
      <c r="C21">
        <v>2</v>
      </c>
      <c r="D21" t="s">
        <v>1</v>
      </c>
      <c r="E21" t="s">
        <v>3</v>
      </c>
      <c r="F21" s="8">
        <v>45809</v>
      </c>
      <c r="G21" s="7">
        <f xml:space="preserve"> 0.8 * 20.56 + 20.2 * 0.8 + 19.84 * 0.8 + 19.61 * 0.8 + 0.3* 22.8 + 0.3 * 27.65</f>
        <v>79.303000000000011</v>
      </c>
      <c r="H21" s="7">
        <f xml:space="preserve"> 0.2 * 20.56 + 20.2 * 0.2 + 19.84 * 0.2 + 19.61 * 0.2 + 0.7 * 22.8 + 0.7 * 27.65</f>
        <v>51.356999999999999</v>
      </c>
      <c r="I21" s="7">
        <v>0.29980000000000001</v>
      </c>
      <c r="J21" s="7">
        <v>7.3499999999999996E-2</v>
      </c>
    </row>
    <row r="22" spans="1:10" x14ac:dyDescent="0.25">
      <c r="A22" t="s">
        <v>7</v>
      </c>
      <c r="C22">
        <v>3</v>
      </c>
      <c r="D22" t="s">
        <v>1</v>
      </c>
      <c r="E22" t="s">
        <v>3</v>
      </c>
      <c r="F22" s="8">
        <v>45809</v>
      </c>
      <c r="G22" s="12">
        <f xml:space="preserve"> 31.48 + 37.54 + 32.75 * 0.6</f>
        <v>88.669999999999987</v>
      </c>
      <c r="H22" s="12">
        <f xml:space="preserve"> 35.66+ 32.75 * 0.4</f>
        <v>48.76</v>
      </c>
      <c r="I22" s="12">
        <v>1.2814000000000001</v>
      </c>
      <c r="J22" s="12">
        <v>2.4603000000000002</v>
      </c>
    </row>
    <row r="23" spans="1:10" x14ac:dyDescent="0.25">
      <c r="A23" t="s">
        <v>6</v>
      </c>
      <c r="C23">
        <v>1</v>
      </c>
      <c r="D23" t="s">
        <v>1</v>
      </c>
      <c r="E23" t="s">
        <v>3</v>
      </c>
      <c r="F23" s="8">
        <v>45809</v>
      </c>
      <c r="G23" s="10">
        <f>24.61 + 17.47 + 28.21 + 11.29</f>
        <v>81.579999999999984</v>
      </c>
      <c r="H23" s="10">
        <v>24.82</v>
      </c>
      <c r="I23" s="10">
        <v>0.50860000000000005</v>
      </c>
      <c r="J23" s="10">
        <f xml:space="preserve"> 16.24 + 11.93</f>
        <v>28.169999999999998</v>
      </c>
    </row>
    <row r="24" spans="1:10" x14ac:dyDescent="0.25">
      <c r="A24" t="s">
        <v>6</v>
      </c>
      <c r="C24">
        <v>2</v>
      </c>
      <c r="D24" t="s">
        <v>1</v>
      </c>
      <c r="E24" t="s">
        <v>3</v>
      </c>
      <c r="F24" s="8">
        <v>45809</v>
      </c>
      <c r="G24" s="9">
        <f xml:space="preserve"> 20.93*0.3 + 33.46*0.8 + 41.22*0.8</f>
        <v>66.022999999999996</v>
      </c>
      <c r="H24" s="9">
        <f>20.93*0.7 + 33.46*0.2 + 41.22*0.2</f>
        <v>29.586999999999996</v>
      </c>
      <c r="I24" s="9">
        <v>0</v>
      </c>
      <c r="J24" s="9">
        <v>0.61809999999999998</v>
      </c>
    </row>
    <row r="25" spans="1:10" x14ac:dyDescent="0.25">
      <c r="A25" t="s">
        <v>6</v>
      </c>
      <c r="C25">
        <v>3</v>
      </c>
      <c r="D25" t="s">
        <v>1</v>
      </c>
      <c r="E25" t="s">
        <v>3</v>
      </c>
      <c r="F25" s="8">
        <v>45809</v>
      </c>
      <c r="G25" s="10">
        <f xml:space="preserve"> 0.3 * (26.37 + 33.48) + 0.7 *( 27.31 + 37.28)</f>
        <v>63.167999999999999</v>
      </c>
      <c r="H25" s="10">
        <f xml:space="preserve"> 0.7 * (26.37 + 33.48) + 0.2 * (27.31 + 37.28)</f>
        <v>54.812999999999995</v>
      </c>
      <c r="I25" s="10">
        <v>0.48530000000000001</v>
      </c>
      <c r="J25" s="10">
        <f xml:space="preserve"> 5.2453 + ( 27.31 + 37.28)* 0.01</f>
        <v>5.8912000000000004</v>
      </c>
    </row>
    <row r="26" spans="1:10" x14ac:dyDescent="0.25">
      <c r="A26" t="s">
        <v>6</v>
      </c>
      <c r="C26">
        <v>1</v>
      </c>
      <c r="D26" t="s">
        <v>1</v>
      </c>
      <c r="E26" t="s">
        <v>0</v>
      </c>
      <c r="F26" s="8">
        <v>45809</v>
      </c>
      <c r="G26" s="9">
        <f xml:space="preserve"> 2.3416 + 37.87* 0.6</f>
        <v>25.063599999999997</v>
      </c>
      <c r="H26" s="9">
        <f xml:space="preserve"> 34.15+ 11.29 + 37.87* 0.4</f>
        <v>60.587999999999994</v>
      </c>
      <c r="I26" s="9">
        <v>2.7267000000000001</v>
      </c>
      <c r="J26" s="9">
        <v>9.1928000000000001</v>
      </c>
    </row>
    <row r="27" spans="1:10" x14ac:dyDescent="0.25">
      <c r="A27" t="s">
        <v>6</v>
      </c>
      <c r="C27">
        <v>2</v>
      </c>
      <c r="D27" t="s">
        <v>1</v>
      </c>
      <c r="E27" t="s">
        <v>0</v>
      </c>
      <c r="F27" s="8">
        <v>45809</v>
      </c>
      <c r="G27" s="10">
        <f xml:space="preserve"> 10.54 + 32.09 * 0.2</f>
        <v>16.957999999999998</v>
      </c>
      <c r="H27" s="10">
        <f xml:space="preserve"> 28.1 + 0.8 * 32.09</f>
        <v>53.772000000000006</v>
      </c>
      <c r="I27" s="10">
        <v>0.55320000000000003</v>
      </c>
      <c r="J27" s="10">
        <v>0</v>
      </c>
    </row>
    <row r="28" spans="1:10" x14ac:dyDescent="0.25">
      <c r="A28" t="s">
        <v>6</v>
      </c>
      <c r="C28">
        <v>3</v>
      </c>
      <c r="D28" t="s">
        <v>1</v>
      </c>
      <c r="E28" t="s">
        <v>0</v>
      </c>
      <c r="F28" s="8">
        <v>45809</v>
      </c>
      <c r="G28" s="7">
        <f xml:space="preserve"> 35.35 * 0.5 + 20.31</f>
        <v>37.984999999999999</v>
      </c>
      <c r="H28" s="7">
        <f xml:space="preserve"> 35.35 * 0.5 + 15.8</f>
        <v>33.475000000000001</v>
      </c>
      <c r="I28" s="7">
        <v>0.76539999999999997</v>
      </c>
      <c r="J28" s="7">
        <v>0.67589999999999995</v>
      </c>
    </row>
    <row r="29" spans="1:10" x14ac:dyDescent="0.25">
      <c r="A29" t="s">
        <v>5</v>
      </c>
      <c r="C29">
        <v>1</v>
      </c>
      <c r="D29" t="s">
        <v>1</v>
      </c>
      <c r="E29" t="s">
        <v>3</v>
      </c>
      <c r="F29" s="8">
        <v>45809</v>
      </c>
      <c r="G29" s="10">
        <f xml:space="preserve"> 25.65 * 0.55 + 27.99*0.55 + 19.5*0.55</f>
        <v>40.227000000000004</v>
      </c>
      <c r="H29" s="10">
        <f xml:space="preserve"> 25.65 * 0.45 + 27.99 * 0.45+ 19.5*0.45</f>
        <v>32.912999999999997</v>
      </c>
      <c r="I29" s="10">
        <v>0</v>
      </c>
      <c r="J29" s="10">
        <v>5.0789999999999997</v>
      </c>
    </row>
    <row r="30" spans="1:10" x14ac:dyDescent="0.25">
      <c r="A30" t="s">
        <v>5</v>
      </c>
      <c r="C30">
        <v>2</v>
      </c>
      <c r="D30" t="s">
        <v>1</v>
      </c>
      <c r="E30" t="s">
        <v>3</v>
      </c>
      <c r="F30" s="8">
        <v>45809</v>
      </c>
      <c r="G30" s="7">
        <f xml:space="preserve"> 20.72 + 18.99</f>
        <v>39.709999999999994</v>
      </c>
      <c r="H30" s="7">
        <v>17.2</v>
      </c>
      <c r="I30" s="7">
        <v>0.32600000000000001</v>
      </c>
      <c r="J30" s="7">
        <v>34.89</v>
      </c>
    </row>
    <row r="31" spans="1:10" x14ac:dyDescent="0.25">
      <c r="A31" t="s">
        <v>5</v>
      </c>
      <c r="C31">
        <v>3</v>
      </c>
      <c r="D31" t="s">
        <v>1</v>
      </c>
      <c r="E31" t="s">
        <v>3</v>
      </c>
      <c r="F31" s="8">
        <v>45809</v>
      </c>
      <c r="G31" s="10">
        <f xml:space="preserve"> 0.55 * 31.52 + 16.22 * 0.55</f>
        <v>26.257000000000001</v>
      </c>
      <c r="H31" s="10">
        <f xml:space="preserve"> 31.52 * 0.45 + 16.22 * 0.45</f>
        <v>21.482999999999997</v>
      </c>
      <c r="I31" s="10">
        <v>0</v>
      </c>
      <c r="J31" s="10">
        <f xml:space="preserve"> 0.5277</f>
        <v>0.52769999999999995</v>
      </c>
    </row>
    <row r="32" spans="1:10" x14ac:dyDescent="0.25">
      <c r="A32" t="s">
        <v>5</v>
      </c>
      <c r="C32">
        <v>1</v>
      </c>
      <c r="D32" t="s">
        <v>1</v>
      </c>
      <c r="E32" t="s">
        <v>0</v>
      </c>
      <c r="F32" s="8">
        <v>45809</v>
      </c>
      <c r="G32" s="9">
        <f xml:space="preserve"> (29.54 + 18.64 + 25.04)* 0.6</f>
        <v>43.931999999999995</v>
      </c>
      <c r="H32" s="9">
        <f xml:space="preserve"> (29.54+ 18.64 + 25.04) * 0.35</f>
        <v>25.626999999999999</v>
      </c>
      <c r="I32" s="9">
        <v>0.66369999999999996</v>
      </c>
      <c r="J32" s="9">
        <f xml:space="preserve"> 4.9456 + (29.54+ 18.64 + 25.04)* 0.05</f>
        <v>8.6066000000000003</v>
      </c>
    </row>
    <row r="33" spans="1:10" x14ac:dyDescent="0.25">
      <c r="A33" t="s">
        <v>5</v>
      </c>
      <c r="C33">
        <v>2</v>
      </c>
      <c r="D33" t="s">
        <v>1</v>
      </c>
      <c r="E33" t="s">
        <v>0</v>
      </c>
      <c r="F33" s="8">
        <v>45809</v>
      </c>
      <c r="G33" s="7">
        <f xml:space="preserve"> 19.39 + 26.75 + 16.31</f>
        <v>62.45</v>
      </c>
      <c r="H33" s="7">
        <v>20.79</v>
      </c>
      <c r="I33" s="7">
        <v>9.6000000000000002E-2</v>
      </c>
      <c r="J33" s="7">
        <v>0.54859999999999998</v>
      </c>
    </row>
    <row r="34" spans="1:10" x14ac:dyDescent="0.25">
      <c r="A34" t="s">
        <v>5</v>
      </c>
      <c r="C34">
        <v>3</v>
      </c>
      <c r="D34" t="s">
        <v>1</v>
      </c>
      <c r="E34" t="s">
        <v>0</v>
      </c>
      <c r="F34" s="8">
        <v>45809</v>
      </c>
      <c r="G34" s="9">
        <f xml:space="preserve"> 22.44 * 0.3 + (36.5  + 26.77)* 0.5</f>
        <v>38.366999999999997</v>
      </c>
      <c r="H34" s="9">
        <f xml:space="preserve"> 22.44 * 0.7 + (36.5+ 26.77) * 0.3</f>
        <v>34.689</v>
      </c>
      <c r="I34" s="9">
        <v>0.32100000000000001</v>
      </c>
      <c r="J34" s="9">
        <f xml:space="preserve"> 15.06 + (36.5+ 26.77) * 0.2</f>
        <v>27.713999999999999</v>
      </c>
    </row>
    <row r="35" spans="1:10" x14ac:dyDescent="0.25">
      <c r="A35" t="s">
        <v>4</v>
      </c>
      <c r="C35">
        <v>1</v>
      </c>
      <c r="D35" t="s">
        <v>1</v>
      </c>
      <c r="E35" t="s">
        <v>3</v>
      </c>
      <c r="F35" s="8">
        <v>45809</v>
      </c>
      <c r="G35" s="10">
        <v>20.85</v>
      </c>
      <c r="H35" s="10">
        <v>14.29</v>
      </c>
      <c r="I35" s="10">
        <v>0.22850000000000001</v>
      </c>
      <c r="J35" s="10">
        <v>4.6944999999999997</v>
      </c>
    </row>
    <row r="36" spans="1:10" x14ac:dyDescent="0.25">
      <c r="A36" t="s">
        <v>4</v>
      </c>
      <c r="C36">
        <v>2</v>
      </c>
      <c r="D36" t="s">
        <v>1</v>
      </c>
      <c r="E36" t="s">
        <v>3</v>
      </c>
      <c r="F36" s="8">
        <v>45809</v>
      </c>
      <c r="G36" s="9">
        <f xml:space="preserve"> 0.6 * (25.5 + 24.39) + 3.3973</f>
        <v>33.331299999999999</v>
      </c>
      <c r="H36" s="9">
        <f xml:space="preserve"> (25.5 + 24.39) * 0.4 + 7.0161</f>
        <v>26.972100000000005</v>
      </c>
      <c r="I36" s="9">
        <v>0.10970000000000001</v>
      </c>
      <c r="J36" s="9">
        <v>5.4347000000000003</v>
      </c>
    </row>
    <row r="37" spans="1:10" x14ac:dyDescent="0.25">
      <c r="A37" t="s">
        <v>4</v>
      </c>
      <c r="C37">
        <v>3</v>
      </c>
      <c r="D37" t="s">
        <v>1</v>
      </c>
      <c r="E37" t="s">
        <v>3</v>
      </c>
      <c r="F37" s="8">
        <v>45809</v>
      </c>
      <c r="G37" s="12">
        <f xml:space="preserve"> 26.03 + 37.29 * 0.6</f>
        <v>48.403999999999996</v>
      </c>
      <c r="H37" s="12">
        <f xml:space="preserve"> 11.38 + 37.29 * 0.4</f>
        <v>26.295999999999999</v>
      </c>
      <c r="I37" s="12">
        <v>0.33189999999999997</v>
      </c>
      <c r="J37" s="12">
        <v>0</v>
      </c>
    </row>
    <row r="38" spans="1:10" x14ac:dyDescent="0.25">
      <c r="A38" t="s">
        <v>4</v>
      </c>
      <c r="C38">
        <v>1</v>
      </c>
      <c r="D38" t="s">
        <v>1</v>
      </c>
      <c r="E38" t="s">
        <v>0</v>
      </c>
      <c r="F38" s="8">
        <v>45809</v>
      </c>
      <c r="G38" s="7">
        <v>17.64</v>
      </c>
      <c r="H38" s="7">
        <v>8.4895999999999994</v>
      </c>
      <c r="I38" s="7">
        <v>0.29799999999999999</v>
      </c>
      <c r="J38" s="7">
        <v>3.1859999999999999</v>
      </c>
    </row>
    <row r="39" spans="1:10" x14ac:dyDescent="0.25">
      <c r="A39" t="s">
        <v>4</v>
      </c>
      <c r="C39">
        <v>2</v>
      </c>
      <c r="D39" t="s">
        <v>1</v>
      </c>
      <c r="E39" t="s">
        <v>0</v>
      </c>
      <c r="F39" s="8">
        <v>45809</v>
      </c>
      <c r="G39" s="10">
        <v>34.049999999999997</v>
      </c>
      <c r="H39" s="10">
        <v>22.5</v>
      </c>
      <c r="I39" s="10">
        <v>1.85</v>
      </c>
      <c r="J39" s="10">
        <v>0.54449999999999998</v>
      </c>
    </row>
    <row r="40" spans="1:10" x14ac:dyDescent="0.25">
      <c r="A40" t="s">
        <v>4</v>
      </c>
      <c r="C40">
        <v>3</v>
      </c>
      <c r="D40" t="s">
        <v>1</v>
      </c>
      <c r="E40" t="s">
        <v>0</v>
      </c>
      <c r="F40" s="8">
        <v>45809</v>
      </c>
      <c r="G40" s="7">
        <f xml:space="preserve"> 9.4414 + (26.33 + 36.69) * 0.7</f>
        <v>53.555399999999999</v>
      </c>
      <c r="H40" s="7">
        <f xml:space="preserve"> 3.2266 + (26.33+ 36.69) * 0.3</f>
        <v>22.1326</v>
      </c>
      <c r="I40" s="7">
        <v>0</v>
      </c>
      <c r="J40" s="7">
        <v>6.6597</v>
      </c>
    </row>
    <row r="41" spans="1:10" x14ac:dyDescent="0.25">
      <c r="A41" t="s">
        <v>2</v>
      </c>
      <c r="C41">
        <v>1</v>
      </c>
      <c r="D41" t="s">
        <v>1</v>
      </c>
      <c r="E41" t="s">
        <v>3</v>
      </c>
      <c r="F41" s="8">
        <v>45809</v>
      </c>
      <c r="G41" s="10">
        <f xml:space="preserve"> 24.38 + 28.89</f>
        <v>53.269999999999996</v>
      </c>
      <c r="H41" s="10">
        <v>17.010000000000002</v>
      </c>
      <c r="I41" s="10">
        <v>0.1124</v>
      </c>
      <c r="J41" s="10">
        <v>22.45</v>
      </c>
    </row>
    <row r="42" spans="1:10" x14ac:dyDescent="0.25">
      <c r="A42" t="s">
        <v>2</v>
      </c>
      <c r="C42">
        <v>2</v>
      </c>
      <c r="D42" t="s">
        <v>1</v>
      </c>
      <c r="E42" t="s">
        <v>3</v>
      </c>
      <c r="F42" s="8">
        <v>45809</v>
      </c>
      <c r="G42" s="11">
        <f xml:space="preserve"> 3.3688 + 15.84 * 0.7 + 0.8 * 12.43</f>
        <v>24.4008</v>
      </c>
      <c r="H42" s="11">
        <f xml:space="preserve"> 15.84* 0.3 + 2.2721</f>
        <v>7.0240999999999998</v>
      </c>
      <c r="I42" s="11">
        <v>0</v>
      </c>
      <c r="J42" s="11">
        <f xml:space="preserve"> 12.43* 0.2 + 2.1413</f>
        <v>4.6273</v>
      </c>
    </row>
    <row r="43" spans="1:10" x14ac:dyDescent="0.25">
      <c r="A43" t="s">
        <v>2</v>
      </c>
      <c r="C43">
        <v>3</v>
      </c>
      <c r="D43" t="s">
        <v>1</v>
      </c>
      <c r="E43" t="s">
        <v>3</v>
      </c>
      <c r="F43" s="8">
        <v>45809</v>
      </c>
      <c r="G43" s="10">
        <f xml:space="preserve"> 0.6 * 33.13</f>
        <v>19.878</v>
      </c>
      <c r="H43" s="10">
        <f xml:space="preserve"> 0.3 * 33.13</f>
        <v>9.9390000000000001</v>
      </c>
      <c r="I43" s="10">
        <v>0</v>
      </c>
      <c r="J43" s="10">
        <f xml:space="preserve"> 2.9301 + 0.1 * 33.13</f>
        <v>6.2431000000000001</v>
      </c>
    </row>
    <row r="44" spans="1:10" x14ac:dyDescent="0.25">
      <c r="A44" t="s">
        <v>2</v>
      </c>
      <c r="C44">
        <v>1</v>
      </c>
      <c r="D44" t="s">
        <v>1</v>
      </c>
      <c r="E44" t="s">
        <v>0</v>
      </c>
      <c r="F44" s="8">
        <v>45809</v>
      </c>
      <c r="G44" s="7">
        <f xml:space="preserve"> 11.86 + 29.53</f>
        <v>41.39</v>
      </c>
      <c r="H44" s="7">
        <v>17.62</v>
      </c>
      <c r="I44" s="7">
        <v>0.24660000000000001</v>
      </c>
      <c r="J44" s="7">
        <v>4.5505000000000004</v>
      </c>
    </row>
    <row r="45" spans="1:10" x14ac:dyDescent="0.25">
      <c r="A45" t="s">
        <v>2</v>
      </c>
      <c r="C45">
        <v>2</v>
      </c>
      <c r="D45" t="s">
        <v>1</v>
      </c>
      <c r="E45" t="s">
        <v>0</v>
      </c>
      <c r="F45" s="8">
        <v>45809</v>
      </c>
      <c r="G45" s="9">
        <f xml:space="preserve"> (25.76 + 36.85) * 0.45</f>
        <v>28.174500000000002</v>
      </c>
      <c r="H45" s="9">
        <f xml:space="preserve"> (25.76 + 36.85)* 0.5</f>
        <v>31.305</v>
      </c>
      <c r="I45" s="9">
        <v>0.50560000000000005</v>
      </c>
      <c r="J45" s="9">
        <f>+ 1.8441 + (25.76 + 36.85)* 0.05</f>
        <v>4.9746000000000006</v>
      </c>
    </row>
    <row r="46" spans="1:10" x14ac:dyDescent="0.25">
      <c r="A46" t="s">
        <v>2</v>
      </c>
      <c r="C46">
        <v>3</v>
      </c>
      <c r="D46" t="s">
        <v>1</v>
      </c>
      <c r="E46" t="s">
        <v>0</v>
      </c>
      <c r="F46" s="8">
        <v>45809</v>
      </c>
      <c r="G46" s="7">
        <f xml:space="preserve"> 0.35 * (29.4 + 24.03 + 28.4)</f>
        <v>28.640499999999996</v>
      </c>
      <c r="H46" s="7">
        <f xml:space="preserve"> (29.4 + 24.03 + 28.4)* 0.6</f>
        <v>49.097999999999999</v>
      </c>
      <c r="I46" s="7">
        <v>0.54049999999999998</v>
      </c>
      <c r="J46" s="7">
        <f xml:space="preserve"> 1.3831 + (29.4  + 24.03 + 28.4) * 0.05</f>
        <v>5.4745999999999997</v>
      </c>
    </row>
    <row r="47" spans="1:10" x14ac:dyDescent="0.25">
      <c r="A47" t="s">
        <v>17</v>
      </c>
      <c r="B47" t="s">
        <v>16</v>
      </c>
      <c r="C47">
        <v>1</v>
      </c>
      <c r="D47" t="s">
        <v>11</v>
      </c>
      <c r="E47" t="s">
        <v>0</v>
      </c>
      <c r="F47" s="2">
        <v>45870</v>
      </c>
      <c r="G47" s="1">
        <f xml:space="preserve"> 1.5545 + 0.7 * 2.5153</f>
        <v>3.3152099999999995</v>
      </c>
      <c r="H47" s="1">
        <f xml:space="preserve"> 0.3 * 2.5153 + 10.01</f>
        <v>10.76459</v>
      </c>
      <c r="I47" s="1">
        <v>0.61019999999999996</v>
      </c>
      <c r="J47" s="1">
        <v>3.4847999999999999</v>
      </c>
    </row>
    <row r="48" spans="1:10" x14ac:dyDescent="0.25">
      <c r="A48" t="s">
        <v>17</v>
      </c>
      <c r="B48" t="s">
        <v>16</v>
      </c>
      <c r="C48">
        <v>2</v>
      </c>
      <c r="D48" t="s">
        <v>11</v>
      </c>
      <c r="E48" t="s">
        <v>0</v>
      </c>
      <c r="F48" s="2">
        <v>45870</v>
      </c>
      <c r="G48" s="4">
        <f xml:space="preserve"> 0.15 * 2.9155</f>
        <v>0.43732500000000002</v>
      </c>
      <c r="H48" s="4">
        <f xml:space="preserve"> 2.464 + 0.85 * 2.9155</f>
        <v>4.9421750000000007</v>
      </c>
      <c r="I48" s="4">
        <v>0.83409999999999995</v>
      </c>
      <c r="J48" s="4">
        <v>2.8544999999999998</v>
      </c>
    </row>
    <row r="49" spans="1:10" x14ac:dyDescent="0.25">
      <c r="A49" t="s">
        <v>17</v>
      </c>
      <c r="B49" t="s">
        <v>16</v>
      </c>
      <c r="C49">
        <v>3</v>
      </c>
      <c r="D49" t="s">
        <v>11</v>
      </c>
      <c r="E49" t="s">
        <v>0</v>
      </c>
      <c r="F49" s="2">
        <v>45870</v>
      </c>
      <c r="G49" s="5">
        <v>0</v>
      </c>
      <c r="H49" s="5">
        <f xml:space="preserve"> 2.7546 + 0.1 * 1.7595</f>
        <v>2.9305499999999998</v>
      </c>
      <c r="I49" s="5">
        <v>2.3403</v>
      </c>
      <c r="J49" s="5">
        <v>0.41930000000000001</v>
      </c>
    </row>
    <row r="50" spans="1:10" x14ac:dyDescent="0.25">
      <c r="A50" t="s">
        <v>15</v>
      </c>
      <c r="B50" t="s">
        <v>14</v>
      </c>
      <c r="C50">
        <v>1</v>
      </c>
      <c r="D50" t="s">
        <v>11</v>
      </c>
      <c r="E50" t="s">
        <v>0</v>
      </c>
      <c r="F50" s="2">
        <v>45870</v>
      </c>
      <c r="G50" s="1">
        <v>0</v>
      </c>
      <c r="H50" s="1">
        <f xml:space="preserve"> 3.3317 + 0.9 * 2.6021</f>
        <v>5.6735900000000008</v>
      </c>
      <c r="I50" s="1">
        <v>2.0743</v>
      </c>
      <c r="J50" s="1">
        <v>1.3371999999999999</v>
      </c>
    </row>
    <row r="51" spans="1:10" x14ac:dyDescent="0.25">
      <c r="A51" t="s">
        <v>15</v>
      </c>
      <c r="B51" t="s">
        <v>14</v>
      </c>
      <c r="C51">
        <v>2</v>
      </c>
      <c r="D51" t="s">
        <v>11</v>
      </c>
      <c r="E51" t="s">
        <v>0</v>
      </c>
      <c r="F51" s="2">
        <v>45870</v>
      </c>
      <c r="G51" s="4">
        <v>0</v>
      </c>
      <c r="H51" s="4">
        <v>0.36480000000000001</v>
      </c>
      <c r="I51" s="4">
        <v>1.0347</v>
      </c>
      <c r="J51" s="4">
        <v>2.3199999999999998E-2</v>
      </c>
    </row>
    <row r="52" spans="1:10" x14ac:dyDescent="0.25">
      <c r="A52" t="s">
        <v>15</v>
      </c>
      <c r="B52" t="s">
        <v>14</v>
      </c>
      <c r="C52">
        <v>3</v>
      </c>
      <c r="D52" t="s">
        <v>11</v>
      </c>
      <c r="E52" t="s">
        <v>0</v>
      </c>
      <c r="F52" s="2">
        <v>45870</v>
      </c>
      <c r="G52" s="3">
        <f xml:space="preserve"> 0.205 + 0.15 * 1.037</f>
        <v>0.36054999999999998</v>
      </c>
      <c r="H52" s="3">
        <v>0.58360000000000001</v>
      </c>
      <c r="I52" s="3">
        <v>1.2884</v>
      </c>
      <c r="J52" s="3">
        <v>0.68559999999999999</v>
      </c>
    </row>
    <row r="53" spans="1:10" x14ac:dyDescent="0.25">
      <c r="A53" t="s">
        <v>13</v>
      </c>
      <c r="B53" t="s">
        <v>12</v>
      </c>
      <c r="C53">
        <v>1</v>
      </c>
      <c r="D53" t="s">
        <v>11</v>
      </c>
      <c r="E53" t="s">
        <v>0</v>
      </c>
      <c r="F53" s="2">
        <v>45870</v>
      </c>
      <c r="G53" s="4">
        <v>0</v>
      </c>
      <c r="H53" s="4">
        <f xml:space="preserve"> 5.4113 + 0.9 * 4.0498</f>
        <v>9.0561199999999999</v>
      </c>
      <c r="I53" s="4">
        <v>2.8794</v>
      </c>
      <c r="J53" s="4">
        <v>1.8834</v>
      </c>
    </row>
    <row r="54" spans="1:10" x14ac:dyDescent="0.25">
      <c r="A54" t="s">
        <v>13</v>
      </c>
      <c r="B54" t="s">
        <v>12</v>
      </c>
      <c r="C54">
        <v>2</v>
      </c>
      <c r="D54" t="s">
        <v>11</v>
      </c>
      <c r="E54" t="s">
        <v>0</v>
      </c>
      <c r="F54" s="2">
        <v>45870</v>
      </c>
      <c r="G54" s="5">
        <v>0</v>
      </c>
      <c r="H54" s="5">
        <f xml:space="preserve"> 4.9663 + 0.3 * 0.4767</f>
        <v>5.1093100000000007</v>
      </c>
      <c r="I54" s="5">
        <v>2.8460999999999999</v>
      </c>
      <c r="J54" s="5">
        <v>0.16819999999999999</v>
      </c>
    </row>
    <row r="55" spans="1:10" x14ac:dyDescent="0.25">
      <c r="A55" t="s">
        <v>13</v>
      </c>
      <c r="B55" t="s">
        <v>12</v>
      </c>
      <c r="C55">
        <v>3</v>
      </c>
      <c r="D55" t="s">
        <v>11</v>
      </c>
      <c r="E55" t="s">
        <v>0</v>
      </c>
      <c r="F55" s="2">
        <v>45870</v>
      </c>
      <c r="G55" s="1">
        <v>0</v>
      </c>
      <c r="H55" s="1">
        <f xml:space="preserve"> 3.1782 + 0.3* 0.6261</f>
        <v>3.3660299999999999</v>
      </c>
      <c r="I55" s="1">
        <f xml:space="preserve"> 5.2626 + 0.05 * 0.6261</f>
        <v>5.2939049999999996</v>
      </c>
      <c r="J55" s="1">
        <v>0.625</v>
      </c>
    </row>
    <row r="56" spans="1:10" x14ac:dyDescent="0.25">
      <c r="A56" t="s">
        <v>9</v>
      </c>
      <c r="C56">
        <v>1</v>
      </c>
      <c r="D56" t="s">
        <v>1</v>
      </c>
      <c r="E56" t="s">
        <v>10</v>
      </c>
      <c r="F56" s="2">
        <v>45870</v>
      </c>
      <c r="G56" s="5">
        <f xml:space="preserve"> 0.05 * 5.889</f>
        <v>0.29445000000000005</v>
      </c>
      <c r="H56" s="5">
        <f xml:space="preserve"> 0.95 * 5.889</f>
        <v>5.5945499999999999</v>
      </c>
      <c r="I56" s="5">
        <v>0</v>
      </c>
      <c r="J56" s="5">
        <v>1.6273</v>
      </c>
    </row>
    <row r="57" spans="1:10" x14ac:dyDescent="0.25">
      <c r="A57" t="s">
        <v>9</v>
      </c>
      <c r="C57">
        <v>2</v>
      </c>
      <c r="D57" t="s">
        <v>1</v>
      </c>
      <c r="E57" t="s">
        <v>3</v>
      </c>
      <c r="F57" s="2">
        <v>45870</v>
      </c>
      <c r="G57" s="4">
        <f xml:space="preserve"> 0.05 * 7.6904</f>
        <v>0.38452000000000003</v>
      </c>
      <c r="H57" s="4">
        <f xml:space="preserve"> 0.95 * 7.6904</f>
        <v>7.3058800000000002</v>
      </c>
      <c r="I57" s="4">
        <v>1.4999999999999999E-2</v>
      </c>
      <c r="J57" s="4">
        <v>0.82199999999999995</v>
      </c>
    </row>
    <row r="58" spans="1:10" x14ac:dyDescent="0.25">
      <c r="A58" t="s">
        <v>9</v>
      </c>
      <c r="C58">
        <v>3</v>
      </c>
      <c r="D58" t="s">
        <v>1</v>
      </c>
      <c r="E58" t="s">
        <v>3</v>
      </c>
      <c r="F58" s="2">
        <v>45870</v>
      </c>
      <c r="G58" s="5">
        <v>0.91010000000000002</v>
      </c>
      <c r="H58" s="5">
        <v>8.1599000000000004</v>
      </c>
      <c r="I58" s="5">
        <v>0.25509999999999999</v>
      </c>
      <c r="J58" s="5">
        <v>0.99719999999999998</v>
      </c>
    </row>
    <row r="59" spans="1:10" x14ac:dyDescent="0.25">
      <c r="A59" t="s">
        <v>9</v>
      </c>
      <c r="C59">
        <v>1</v>
      </c>
      <c r="D59" t="s">
        <v>1</v>
      </c>
      <c r="E59" t="s">
        <v>0</v>
      </c>
      <c r="F59" s="2">
        <v>45870</v>
      </c>
      <c r="G59" s="1">
        <v>0</v>
      </c>
      <c r="H59" s="1">
        <v>7.2111999999999998</v>
      </c>
      <c r="I59" s="1">
        <v>0</v>
      </c>
      <c r="J59" s="1">
        <v>1.6816</v>
      </c>
    </row>
    <row r="60" spans="1:10" x14ac:dyDescent="0.25">
      <c r="A60" t="s">
        <v>9</v>
      </c>
      <c r="C60">
        <v>2</v>
      </c>
      <c r="D60" t="s">
        <v>1</v>
      </c>
      <c r="E60" t="s">
        <v>0</v>
      </c>
      <c r="F60" s="2">
        <v>45870</v>
      </c>
      <c r="G60" s="4">
        <f xml:space="preserve"> 0.1 *  4.3286</f>
        <v>0.43286000000000002</v>
      </c>
      <c r="H60" s="4">
        <f xml:space="preserve"> 0.9 * 4.3286</f>
        <v>3.89574</v>
      </c>
      <c r="I60" s="4">
        <v>0</v>
      </c>
      <c r="J60" s="4">
        <v>0.51</v>
      </c>
    </row>
    <row r="61" spans="1:10" x14ac:dyDescent="0.25">
      <c r="A61" t="s">
        <v>9</v>
      </c>
      <c r="C61">
        <v>3</v>
      </c>
      <c r="D61" t="s">
        <v>1</v>
      </c>
      <c r="E61" t="s">
        <v>0</v>
      </c>
      <c r="F61" s="2">
        <v>45870</v>
      </c>
      <c r="G61" s="1">
        <f xml:space="preserve"> 3.8008 * 0.1</f>
        <v>0.38008000000000003</v>
      </c>
      <c r="H61" s="1">
        <f xml:space="preserve"> 3.8008 * 0.9</f>
        <v>3.4207200000000002</v>
      </c>
      <c r="I61" s="1">
        <v>5.16E-2</v>
      </c>
      <c r="J61" s="1">
        <v>0.90900000000000003</v>
      </c>
    </row>
    <row r="62" spans="1:10" x14ac:dyDescent="0.25">
      <c r="A62" t="s">
        <v>7</v>
      </c>
      <c r="C62">
        <v>1</v>
      </c>
      <c r="D62" t="s">
        <v>1</v>
      </c>
      <c r="E62" t="s">
        <v>0</v>
      </c>
      <c r="F62" s="2">
        <v>45870</v>
      </c>
      <c r="G62" s="6">
        <f xml:space="preserve"> 0.3* 32.46</f>
        <v>9.7379999999999995</v>
      </c>
      <c r="H62" s="6">
        <f xml:space="preserve"> 0.7 * 32.46</f>
        <v>22.721999999999998</v>
      </c>
      <c r="I62" s="6">
        <v>1.0187999999999999</v>
      </c>
      <c r="J62" s="6">
        <v>0.61880000000000002</v>
      </c>
    </row>
    <row r="63" spans="1:10" x14ac:dyDescent="0.25">
      <c r="A63" t="s">
        <v>7</v>
      </c>
      <c r="C63">
        <v>2</v>
      </c>
      <c r="D63" t="s">
        <v>1</v>
      </c>
      <c r="E63" t="s">
        <v>0</v>
      </c>
      <c r="F63" s="2">
        <v>45870</v>
      </c>
      <c r="G63" s="3">
        <f xml:space="preserve"> 15.59 * 0.1</f>
        <v>1.5590000000000002</v>
      </c>
      <c r="H63" s="3">
        <f xml:space="preserve"> 15.59 * 0.9</f>
        <v>14.031000000000001</v>
      </c>
      <c r="I63" s="3">
        <v>0</v>
      </c>
      <c r="J63" s="3">
        <v>5.0408999999999997</v>
      </c>
    </row>
    <row r="64" spans="1:10" x14ac:dyDescent="0.25">
      <c r="A64" t="s">
        <v>7</v>
      </c>
      <c r="C64">
        <v>3</v>
      </c>
      <c r="D64" t="s">
        <v>1</v>
      </c>
      <c r="E64" t="s">
        <v>0</v>
      </c>
      <c r="F64" s="2">
        <v>45870</v>
      </c>
      <c r="G64" s="5">
        <f xml:space="preserve"> 0.05 * 18.14</f>
        <v>0.90700000000000003</v>
      </c>
      <c r="H64" s="5">
        <f xml:space="preserve"> 0.95 * 18.14</f>
        <v>17.233000000000001</v>
      </c>
      <c r="I64" s="5">
        <v>6.6E-3</v>
      </c>
      <c r="J64" s="5">
        <v>0.16200000000000001</v>
      </c>
    </row>
    <row r="65" spans="1:11" x14ac:dyDescent="0.25">
      <c r="A65" t="s">
        <v>7</v>
      </c>
      <c r="C65">
        <v>1</v>
      </c>
      <c r="D65" t="s">
        <v>1</v>
      </c>
      <c r="E65" t="s">
        <v>3</v>
      </c>
      <c r="F65" s="2">
        <v>45870</v>
      </c>
      <c r="G65" s="6">
        <f xml:space="preserve"> 0.2 * 10.06</f>
        <v>2.012</v>
      </c>
      <c r="H65" s="6">
        <f xml:space="preserve"> 0.8 * 10.06</f>
        <v>8.048</v>
      </c>
      <c r="I65" s="6">
        <v>0</v>
      </c>
      <c r="J65" s="6">
        <v>0.50880000000000003</v>
      </c>
      <c r="K65" t="s">
        <v>8</v>
      </c>
    </row>
    <row r="66" spans="1:11" x14ac:dyDescent="0.25">
      <c r="A66" t="s">
        <v>7</v>
      </c>
      <c r="C66">
        <v>2</v>
      </c>
      <c r="D66" t="s">
        <v>1</v>
      </c>
      <c r="E66" t="s">
        <v>3</v>
      </c>
      <c r="F66" s="2">
        <v>45870</v>
      </c>
      <c r="G66" s="1">
        <f xml:space="preserve"> 40.55 * 0.25</f>
        <v>10.137499999999999</v>
      </c>
      <c r="H66" s="1">
        <f xml:space="preserve"> 0.75 * 40.55</f>
        <v>30.412499999999998</v>
      </c>
      <c r="I66" s="1">
        <v>0.37480000000000002</v>
      </c>
      <c r="J66" s="1">
        <v>0.12529999999999999</v>
      </c>
    </row>
    <row r="67" spans="1:11" x14ac:dyDescent="0.25">
      <c r="A67" t="s">
        <v>7</v>
      </c>
      <c r="C67">
        <v>3</v>
      </c>
      <c r="D67" t="s">
        <v>1</v>
      </c>
      <c r="E67" t="s">
        <v>3</v>
      </c>
      <c r="F67" s="2">
        <v>45870</v>
      </c>
      <c r="G67" s="6">
        <f xml:space="preserve"> 0.15 * 26.03</f>
        <v>3.9045000000000001</v>
      </c>
      <c r="H67" s="6">
        <f xml:space="preserve"> 0.85 * 26.03</f>
        <v>22.125499999999999</v>
      </c>
      <c r="I67" s="6">
        <v>0.47149999999999997</v>
      </c>
      <c r="J67" s="6">
        <v>0.32300000000000001</v>
      </c>
    </row>
    <row r="68" spans="1:11" x14ac:dyDescent="0.25">
      <c r="A68" t="s">
        <v>6</v>
      </c>
      <c r="C68">
        <v>1</v>
      </c>
      <c r="D68" t="s">
        <v>1</v>
      </c>
      <c r="E68" t="s">
        <v>3</v>
      </c>
      <c r="F68" s="2">
        <v>45870</v>
      </c>
      <c r="G68" s="3">
        <f xml:space="preserve"> 0.1* 17.45</f>
        <v>1.7450000000000001</v>
      </c>
      <c r="H68" s="3">
        <f xml:space="preserve"> 0.9 * 17.45</f>
        <v>15.705</v>
      </c>
      <c r="I68" s="3">
        <v>1.44E-2</v>
      </c>
      <c r="J68" s="3">
        <v>10.4</v>
      </c>
    </row>
    <row r="69" spans="1:11" x14ac:dyDescent="0.25">
      <c r="A69" t="s">
        <v>6</v>
      </c>
      <c r="C69">
        <v>2</v>
      </c>
      <c r="D69" t="s">
        <v>1</v>
      </c>
      <c r="E69" t="s">
        <v>3</v>
      </c>
      <c r="F69" s="2">
        <v>45870</v>
      </c>
      <c r="G69" s="5">
        <f xml:space="preserve"> 4.4959 * 0.3</f>
        <v>1.3487699999999998</v>
      </c>
      <c r="H69" s="5">
        <f xml:space="preserve"> 4.4959 * 0.7 + 21.75</f>
        <v>24.897130000000001</v>
      </c>
      <c r="I69" s="5">
        <v>0</v>
      </c>
      <c r="J69" s="5">
        <v>0.13789999999999999</v>
      </c>
    </row>
    <row r="70" spans="1:11" x14ac:dyDescent="0.25">
      <c r="A70" t="s">
        <v>6</v>
      </c>
      <c r="C70">
        <v>3</v>
      </c>
      <c r="D70" t="s">
        <v>1</v>
      </c>
      <c r="E70" t="s">
        <v>3</v>
      </c>
      <c r="F70" s="2">
        <v>45870</v>
      </c>
      <c r="G70" s="1">
        <f xml:space="preserve"> 29.36 * 0.1</f>
        <v>2.9359999999999999</v>
      </c>
      <c r="H70" s="1">
        <f xml:space="preserve"> 0.9 * 29.36</f>
        <v>26.423999999999999</v>
      </c>
      <c r="I70" s="1">
        <v>4.1200000000000001E-2</v>
      </c>
      <c r="J70" s="1">
        <v>3.3938000000000001</v>
      </c>
    </row>
    <row r="71" spans="1:11" x14ac:dyDescent="0.25">
      <c r="A71" t="s">
        <v>6</v>
      </c>
      <c r="C71">
        <v>1</v>
      </c>
      <c r="D71" t="s">
        <v>1</v>
      </c>
      <c r="E71" t="s">
        <v>0</v>
      </c>
      <c r="F71" s="2">
        <v>45870</v>
      </c>
      <c r="G71" s="3">
        <f xml:space="preserve"> 0.1 * 31.88</f>
        <v>3.1880000000000002</v>
      </c>
      <c r="H71" s="3">
        <f xml:space="preserve"> 0.9 * 31.88</f>
        <v>28.692</v>
      </c>
      <c r="I71" s="3">
        <v>2.8170000000000002</v>
      </c>
      <c r="J71" s="3">
        <v>1.5806</v>
      </c>
    </row>
    <row r="72" spans="1:11" x14ac:dyDescent="0.25">
      <c r="A72" t="s">
        <v>6</v>
      </c>
      <c r="C72">
        <v>2</v>
      </c>
      <c r="D72" t="s">
        <v>1</v>
      </c>
      <c r="E72" t="s">
        <v>0</v>
      </c>
      <c r="F72" s="2">
        <v>45870</v>
      </c>
      <c r="G72" s="4">
        <f xml:space="preserve"> 0.1 * 41.56</f>
        <v>4.1560000000000006</v>
      </c>
      <c r="H72" s="4">
        <f xml:space="preserve"> 0.9 * 41.56</f>
        <v>37.404000000000003</v>
      </c>
      <c r="I72" s="4">
        <v>1.2297</v>
      </c>
      <c r="J72" s="4">
        <v>0.1123</v>
      </c>
    </row>
    <row r="73" spans="1:11" x14ac:dyDescent="0.25">
      <c r="A73" t="s">
        <v>6</v>
      </c>
      <c r="C73">
        <v>3</v>
      </c>
      <c r="D73" t="s">
        <v>1</v>
      </c>
      <c r="E73" t="s">
        <v>0</v>
      </c>
      <c r="F73" s="2">
        <v>45870</v>
      </c>
      <c r="G73" s="5">
        <f xml:space="preserve"> 0.05 * 26.23</f>
        <v>1.3115000000000001</v>
      </c>
      <c r="H73" s="5">
        <f xml:space="preserve"> 0.95 * 26.23</f>
        <v>24.918499999999998</v>
      </c>
      <c r="I73" s="5">
        <v>0.23119999999999999</v>
      </c>
      <c r="J73" s="5">
        <v>1.1405000000000001</v>
      </c>
    </row>
    <row r="74" spans="1:11" x14ac:dyDescent="0.25">
      <c r="A74" t="s">
        <v>5</v>
      </c>
      <c r="C74">
        <v>1</v>
      </c>
      <c r="D74" t="s">
        <v>1</v>
      </c>
      <c r="E74" t="s">
        <v>3</v>
      </c>
      <c r="F74" s="2">
        <v>45870</v>
      </c>
      <c r="G74" s="3">
        <f xml:space="preserve"> 0.15 * 20.33</f>
        <v>3.0494999999999997</v>
      </c>
      <c r="H74" s="3">
        <f xml:space="preserve"> 0.85 * 20.33</f>
        <v>17.280499999999996</v>
      </c>
      <c r="I74" s="3">
        <v>0.01</v>
      </c>
      <c r="J74" s="3">
        <v>6.4399999999999999E-2</v>
      </c>
    </row>
    <row r="75" spans="1:11" x14ac:dyDescent="0.25">
      <c r="A75" t="s">
        <v>5</v>
      </c>
      <c r="C75">
        <v>2</v>
      </c>
      <c r="D75" t="s">
        <v>1</v>
      </c>
      <c r="E75" t="s">
        <v>3</v>
      </c>
      <c r="F75" s="2">
        <v>45870</v>
      </c>
      <c r="G75" s="1">
        <f xml:space="preserve"> 16.19 * 0.15</f>
        <v>2.4285000000000001</v>
      </c>
      <c r="H75" s="1">
        <f xml:space="preserve"> 16.19 * 0.85</f>
        <v>13.7615</v>
      </c>
      <c r="I75" s="1">
        <v>0.247</v>
      </c>
      <c r="J75" s="1">
        <v>0.2601</v>
      </c>
    </row>
    <row r="76" spans="1:11" x14ac:dyDescent="0.25">
      <c r="A76" t="s">
        <v>5</v>
      </c>
      <c r="C76">
        <v>3</v>
      </c>
      <c r="D76" t="s">
        <v>1</v>
      </c>
      <c r="E76" t="s">
        <v>3</v>
      </c>
      <c r="F76" s="2">
        <v>45870</v>
      </c>
      <c r="G76" s="5">
        <f xml:space="preserve"> 0.1 * 18.06</f>
        <v>1.806</v>
      </c>
      <c r="H76" s="5">
        <f xml:space="preserve"> 0.9 * 18.06</f>
        <v>16.253999999999998</v>
      </c>
      <c r="I76" s="5">
        <v>7.3000000000000001E-3</v>
      </c>
      <c r="J76" s="5">
        <v>0.39729999999999999</v>
      </c>
    </row>
    <row r="77" spans="1:11" x14ac:dyDescent="0.25">
      <c r="A77" t="s">
        <v>5</v>
      </c>
      <c r="C77">
        <v>1</v>
      </c>
      <c r="D77" t="s">
        <v>1</v>
      </c>
      <c r="E77" t="s">
        <v>0</v>
      </c>
      <c r="F77" s="2">
        <v>45870</v>
      </c>
      <c r="G77" s="3">
        <f xml:space="preserve"> 28.52 * 0.1</f>
        <v>2.8520000000000003</v>
      </c>
      <c r="H77" s="3">
        <f xml:space="preserve"> 28.52 * 0.9</f>
        <v>25.667999999999999</v>
      </c>
      <c r="I77" s="3">
        <v>1.4641999999999999</v>
      </c>
      <c r="J77" s="3">
        <v>0.58560000000000001</v>
      </c>
    </row>
    <row r="78" spans="1:11" x14ac:dyDescent="0.25">
      <c r="A78" t="s">
        <v>5</v>
      </c>
      <c r="C78">
        <v>2</v>
      </c>
      <c r="D78" t="s">
        <v>1</v>
      </c>
      <c r="E78" t="s">
        <v>0</v>
      </c>
      <c r="F78" s="2">
        <v>45870</v>
      </c>
      <c r="G78" s="6">
        <f xml:space="preserve"> 26.39 * 0.2</f>
        <v>5.2780000000000005</v>
      </c>
      <c r="H78" s="6">
        <f xml:space="preserve"> 26.39 * 0.8</f>
        <v>21.112000000000002</v>
      </c>
      <c r="I78" s="6">
        <v>0.11899999999999999</v>
      </c>
      <c r="J78" s="6">
        <v>0.248</v>
      </c>
    </row>
    <row r="79" spans="1:11" x14ac:dyDescent="0.25">
      <c r="A79" t="s">
        <v>5</v>
      </c>
      <c r="C79">
        <v>3</v>
      </c>
      <c r="D79" t="s">
        <v>1</v>
      </c>
      <c r="E79" t="s">
        <v>0</v>
      </c>
      <c r="F79" s="2">
        <v>45870</v>
      </c>
      <c r="G79" s="1">
        <f xml:space="preserve"> 26.29 * 0.15</f>
        <v>3.9434999999999998</v>
      </c>
      <c r="H79" s="1">
        <f xml:space="preserve"> 26.29 * 0.85</f>
        <v>22.346499999999999</v>
      </c>
      <c r="I79" s="1">
        <v>6.7299999999999999E-2</v>
      </c>
      <c r="J79" s="1">
        <v>2.2877999999999998</v>
      </c>
    </row>
    <row r="80" spans="1:11" x14ac:dyDescent="0.25">
      <c r="A80" t="s">
        <v>4</v>
      </c>
      <c r="C80">
        <v>1</v>
      </c>
      <c r="D80" t="s">
        <v>1</v>
      </c>
      <c r="E80" t="s">
        <v>3</v>
      </c>
      <c r="F80" s="2">
        <v>45870</v>
      </c>
      <c r="G80" s="3">
        <f xml:space="preserve"> 0.1 * 19.01</f>
        <v>1.9010000000000002</v>
      </c>
      <c r="H80" s="3">
        <f xml:space="preserve"> 0.9 * 19.01</f>
        <v>17.109000000000002</v>
      </c>
      <c r="I80" s="3">
        <v>0.17050000000000001</v>
      </c>
      <c r="J80" s="3">
        <v>0.84399999999999997</v>
      </c>
    </row>
    <row r="81" spans="1:10" x14ac:dyDescent="0.25">
      <c r="A81" t="s">
        <v>4</v>
      </c>
      <c r="C81">
        <v>2</v>
      </c>
      <c r="D81" t="s">
        <v>1</v>
      </c>
      <c r="E81" t="s">
        <v>3</v>
      </c>
      <c r="F81" s="2">
        <v>45870</v>
      </c>
      <c r="G81" s="4">
        <f xml:space="preserve"> 0.2 * 36.61</f>
        <v>7.3220000000000001</v>
      </c>
      <c r="H81" s="4">
        <f xml:space="preserve"> 0.8 * 36.61</f>
        <v>29.288</v>
      </c>
      <c r="I81" s="4">
        <v>0.11459999999999999</v>
      </c>
      <c r="J81" s="4">
        <v>2.2151999999999998</v>
      </c>
    </row>
    <row r="82" spans="1:10" x14ac:dyDescent="0.25">
      <c r="A82" t="s">
        <v>4</v>
      </c>
      <c r="C82">
        <v>3</v>
      </c>
      <c r="D82" t="s">
        <v>1</v>
      </c>
      <c r="E82" t="s">
        <v>3</v>
      </c>
      <c r="F82" s="2">
        <v>45870</v>
      </c>
      <c r="G82" s="1">
        <f xml:space="preserve"> 0.25 * 44.42</f>
        <v>11.105</v>
      </c>
      <c r="H82" s="1">
        <f xml:space="preserve"> 0.75 * 44.42</f>
        <v>33.314999999999998</v>
      </c>
      <c r="I82" s="1">
        <v>0.54279999999999995</v>
      </c>
      <c r="J82" s="1">
        <v>0.17130000000000001</v>
      </c>
    </row>
    <row r="83" spans="1:10" x14ac:dyDescent="0.25">
      <c r="A83" t="s">
        <v>4</v>
      </c>
      <c r="C83">
        <v>1</v>
      </c>
      <c r="D83" t="s">
        <v>1</v>
      </c>
      <c r="E83" t="s">
        <v>0</v>
      </c>
      <c r="F83" s="2">
        <v>45870</v>
      </c>
      <c r="G83" s="5">
        <f xml:space="preserve"> 0.3 * 12.57</f>
        <v>3.7709999999999999</v>
      </c>
      <c r="H83" s="5">
        <f xml:space="preserve"> 17.33 + 0.05 * 12.57</f>
        <v>17.958499999999997</v>
      </c>
      <c r="I83" s="5">
        <v>0.26050000000000001</v>
      </c>
      <c r="J83" s="5">
        <v>4.4034000000000004</v>
      </c>
    </row>
    <row r="84" spans="1:10" x14ac:dyDescent="0.25">
      <c r="A84" t="s">
        <v>4</v>
      </c>
      <c r="C84">
        <v>2</v>
      </c>
      <c r="D84" t="s">
        <v>1</v>
      </c>
      <c r="E84" t="s">
        <v>0</v>
      </c>
      <c r="F84" s="2">
        <v>45870</v>
      </c>
      <c r="G84" s="1">
        <f xml:space="preserve"> 0.15 * 34.05</f>
        <v>5.107499999999999</v>
      </c>
      <c r="H84" s="1">
        <f xml:space="preserve"> 0.85 * 34.05</f>
        <v>28.942499999999995</v>
      </c>
      <c r="I84" s="1">
        <v>0.81420000000000003</v>
      </c>
      <c r="J84" s="1">
        <v>0.20080000000000001</v>
      </c>
    </row>
    <row r="85" spans="1:10" x14ac:dyDescent="0.25">
      <c r="A85" t="s">
        <v>4</v>
      </c>
      <c r="C85">
        <v>3</v>
      </c>
      <c r="D85" t="s">
        <v>1</v>
      </c>
      <c r="E85" t="s">
        <v>0</v>
      </c>
      <c r="F85" s="2">
        <v>45870</v>
      </c>
      <c r="G85" s="3">
        <f xml:space="preserve"> 0.15 * 18.14</f>
        <v>2.7210000000000001</v>
      </c>
      <c r="H85" s="3">
        <f xml:space="preserve"> 0.85 * 18.14</f>
        <v>15.419</v>
      </c>
      <c r="I85" s="3">
        <v>0</v>
      </c>
      <c r="J85" s="3">
        <v>2.8996</v>
      </c>
    </row>
    <row r="86" spans="1:10" x14ac:dyDescent="0.25">
      <c r="A86" t="s">
        <v>2</v>
      </c>
      <c r="C86">
        <v>1</v>
      </c>
      <c r="D86" t="s">
        <v>1</v>
      </c>
      <c r="E86" t="s">
        <v>3</v>
      </c>
      <c r="F86" s="2">
        <v>45870</v>
      </c>
      <c r="G86" s="4">
        <f xml:space="preserve"> 0.4 * 27.16</f>
        <v>10.864000000000001</v>
      </c>
      <c r="H86" s="4">
        <f xml:space="preserve"> 0.6 * 27.16</f>
        <v>16.295999999999999</v>
      </c>
      <c r="I86" s="4">
        <v>0</v>
      </c>
      <c r="J86" s="4">
        <v>0.52400000000000002</v>
      </c>
    </row>
    <row r="87" spans="1:10" x14ac:dyDescent="0.25">
      <c r="A87" t="s">
        <v>2</v>
      </c>
      <c r="C87">
        <v>2</v>
      </c>
      <c r="D87" t="s">
        <v>1</v>
      </c>
      <c r="E87" t="s">
        <v>3</v>
      </c>
      <c r="F87" s="2">
        <v>45870</v>
      </c>
      <c r="G87" s="3">
        <f xml:space="preserve"> 0.3 * 9.4369</f>
        <v>2.83107</v>
      </c>
      <c r="H87" s="3">
        <f xml:space="preserve"> 0.7 * 9.4369</f>
        <v>6.6058299999999992</v>
      </c>
      <c r="I87" s="3">
        <v>6.0000000000000001E-3</v>
      </c>
      <c r="J87" s="3">
        <v>0.73380000000000001</v>
      </c>
    </row>
    <row r="88" spans="1:10" x14ac:dyDescent="0.25">
      <c r="A88" t="s">
        <v>2</v>
      </c>
      <c r="C88">
        <v>3</v>
      </c>
      <c r="D88" t="s">
        <v>1</v>
      </c>
      <c r="E88" t="s">
        <v>3</v>
      </c>
      <c r="F88" s="2">
        <v>45870</v>
      </c>
      <c r="G88" s="4">
        <f xml:space="preserve"> 0.4 * 5.2993</f>
        <v>2.11972</v>
      </c>
      <c r="H88" s="4">
        <f xml:space="preserve"> 0.6 *  5.2993</f>
        <v>3.1795799999999996</v>
      </c>
      <c r="I88" s="4">
        <v>0</v>
      </c>
      <c r="J88" s="4">
        <v>0.43759999999999999</v>
      </c>
    </row>
    <row r="89" spans="1:10" x14ac:dyDescent="0.25">
      <c r="A89" t="s">
        <v>2</v>
      </c>
      <c r="C89">
        <v>1</v>
      </c>
      <c r="D89" t="s">
        <v>1</v>
      </c>
      <c r="E89" t="s">
        <v>0</v>
      </c>
      <c r="F89" s="2">
        <v>45870</v>
      </c>
      <c r="G89" s="1">
        <f xml:space="preserve"> 0.3 * 14.33</f>
        <v>4.2989999999999995</v>
      </c>
      <c r="H89" s="1">
        <f xml:space="preserve"> 0.7 * 14.33</f>
        <v>10.030999999999999</v>
      </c>
      <c r="I89" s="1">
        <v>0</v>
      </c>
      <c r="J89" s="1">
        <v>1.7504999999999999</v>
      </c>
    </row>
    <row r="90" spans="1:10" x14ac:dyDescent="0.25">
      <c r="A90" t="s">
        <v>2</v>
      </c>
      <c r="C90">
        <v>2</v>
      </c>
      <c r="D90" t="s">
        <v>1</v>
      </c>
      <c r="E90" t="s">
        <v>0</v>
      </c>
      <c r="F90" s="2">
        <v>45870</v>
      </c>
      <c r="G90" s="3">
        <f xml:space="preserve"> 0.15 * 13.09</f>
        <v>1.9634999999999998</v>
      </c>
      <c r="H90" s="3">
        <f xml:space="preserve"> 0.85 * 13.09</f>
        <v>11.1265</v>
      </c>
      <c r="I90" s="3">
        <v>0.69910000000000005</v>
      </c>
      <c r="J90" s="3">
        <v>0.59909999999999997</v>
      </c>
    </row>
    <row r="91" spans="1:10" x14ac:dyDescent="0.25">
      <c r="A91" t="s">
        <v>2</v>
      </c>
      <c r="C91">
        <v>3</v>
      </c>
      <c r="D91" t="s">
        <v>1</v>
      </c>
      <c r="E91" t="s">
        <v>0</v>
      </c>
      <c r="F91" s="2">
        <v>45870</v>
      </c>
      <c r="G91" s="1">
        <f xml:space="preserve"> 0.1 * 13.06</f>
        <v>1.306</v>
      </c>
      <c r="H91" s="1">
        <f xml:space="preserve"> 0.9 * 13.06</f>
        <v>11.754000000000001</v>
      </c>
      <c r="I91" s="1">
        <v>1.0212000000000001</v>
      </c>
      <c r="J91" s="1">
        <v>0.70240000000000002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dry_final_sheet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Apolline Saint-Pierre</dc:creator>
  <cp:lastModifiedBy>James D. M. Speed</cp:lastModifiedBy>
  <dcterms:created xsi:type="dcterms:W3CDTF">2025-08-24T13:07:06Z</dcterms:created>
  <dcterms:modified xsi:type="dcterms:W3CDTF">2026-04-28T12:23:07Z</dcterms:modified>
</cp:coreProperties>
</file>